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mainport365-my.sharepoint.com/personal/bzelissen_mainport_nl/Documents/Documenten/Arduino/sketches/ESP-Controlled-Rocket/docs/"/>
    </mc:Choice>
  </mc:AlternateContent>
  <xr:revisionPtr revIDLastSave="1110" documentId="11_F25DC773A252ABDACC10484BC95F46505ADE58EF" xr6:coauthVersionLast="47" xr6:coauthVersionMax="47" xr10:uidLastSave="{C44916A8-87DA-4244-BF40-A6D6082FB45D}"/>
  <bookViews>
    <workbookView xWindow="-120" yWindow="-120" windowWidth="29040" windowHeight="15720" xr2:uid="{00000000-000D-0000-FFFF-FFFF00000000}"/>
  </bookViews>
  <sheets>
    <sheet name="Weight" sheetId="1" r:id="rId1"/>
    <sheet name="3D-Parts" sheetId="2" r:id="rId2"/>
    <sheet name="Misc-Parts" sheetId="3" r:id="rId3"/>
  </sheets>
  <definedNames>
    <definedName name="_xlnm._FilterDatabase" localSheetId="1" hidden="1">'3D-Parts'!$A$1:$E$37</definedName>
    <definedName name="_xlnm._FilterDatabase" localSheetId="2" hidden="1">'Misc-Parts'!$A$1:$D$8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Q1" i="1"/>
  <c r="P1" i="1"/>
  <c r="O1" i="1"/>
  <c r="N1" i="1"/>
  <c r="M1" i="1"/>
  <c r="O39" i="1"/>
  <c r="M39" i="1"/>
  <c r="K39" i="1"/>
  <c r="L1" i="1"/>
  <c r="K1" i="1"/>
  <c r="J1" i="1"/>
  <c r="I1" i="1"/>
  <c r="H1" i="1"/>
  <c r="G1" i="1"/>
  <c r="F1" i="1"/>
  <c r="E1" i="1"/>
  <c r="D1" i="1"/>
  <c r="C1" i="1"/>
  <c r="Q39" i="1"/>
  <c r="I39" i="1"/>
  <c r="G39" i="1"/>
  <c r="E39" i="1"/>
  <c r="C39" i="1"/>
  <c r="R13" i="1"/>
  <c r="P13" i="1"/>
  <c r="N13" i="1"/>
  <c r="L13" i="1"/>
  <c r="J13" i="1"/>
  <c r="H13" i="1"/>
  <c r="F13" i="1"/>
  <c r="D13" i="1"/>
  <c r="R5" i="1"/>
  <c r="P5" i="1"/>
  <c r="N5" i="1"/>
  <c r="L5" i="1"/>
  <c r="J5" i="1"/>
  <c r="H5" i="1"/>
  <c r="F5" i="1"/>
  <c r="D5" i="1"/>
  <c r="R3" i="1"/>
  <c r="R4" i="1"/>
  <c r="R6" i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2" i="1"/>
  <c r="P3" i="1"/>
  <c r="P4" i="1"/>
  <c r="P6" i="1"/>
  <c r="P7" i="1"/>
  <c r="P8" i="1"/>
  <c r="P9" i="1"/>
  <c r="P10" i="1"/>
  <c r="P11" i="1"/>
  <c r="P1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2" i="1"/>
  <c r="J18" i="1"/>
  <c r="J19" i="1"/>
  <c r="J20" i="1"/>
  <c r="J21" i="1"/>
  <c r="J22" i="1"/>
  <c r="J23" i="1"/>
  <c r="H17" i="1"/>
  <c r="H18" i="1"/>
  <c r="H19" i="1"/>
  <c r="H20" i="1"/>
  <c r="H21" i="1"/>
  <c r="H22" i="1"/>
  <c r="H23" i="1"/>
  <c r="F18" i="1"/>
  <c r="F19" i="1"/>
  <c r="F20" i="1"/>
  <c r="F21" i="1"/>
  <c r="F22" i="1"/>
  <c r="F23" i="1"/>
  <c r="D3" i="1"/>
  <c r="D4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N18" i="1"/>
  <c r="L18" i="1"/>
  <c r="N3" i="1"/>
  <c r="N4" i="1"/>
  <c r="N6" i="1"/>
  <c r="N7" i="1"/>
  <c r="N8" i="1"/>
  <c r="N9" i="1"/>
  <c r="N10" i="1"/>
  <c r="N11" i="1"/>
  <c r="N12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L3" i="1"/>
  <c r="L4" i="1"/>
  <c r="L6" i="1"/>
  <c r="L7" i="1"/>
  <c r="L8" i="1"/>
  <c r="L9" i="1"/>
  <c r="L10" i="1"/>
  <c r="L11" i="1"/>
  <c r="L12" i="1"/>
  <c r="L14" i="1"/>
  <c r="L15" i="1"/>
  <c r="L16" i="1"/>
  <c r="L17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J3" i="1"/>
  <c r="J4" i="1"/>
  <c r="J6" i="1"/>
  <c r="J7" i="1"/>
  <c r="J8" i="1"/>
  <c r="J9" i="1"/>
  <c r="J10" i="1"/>
  <c r="J11" i="1"/>
  <c r="J12" i="1"/>
  <c r="J14" i="1"/>
  <c r="J15" i="1"/>
  <c r="J16" i="1"/>
  <c r="J17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H3" i="1"/>
  <c r="H4" i="1"/>
  <c r="H6" i="1"/>
  <c r="H7" i="1"/>
  <c r="H8" i="1"/>
  <c r="H9" i="1"/>
  <c r="H10" i="1"/>
  <c r="H11" i="1"/>
  <c r="H12" i="1"/>
  <c r="H14" i="1"/>
  <c r="H15" i="1"/>
  <c r="H16" i="1"/>
  <c r="H24" i="1"/>
  <c r="H25" i="1"/>
  <c r="H26" i="1"/>
  <c r="H27" i="1"/>
  <c r="H28" i="1"/>
  <c r="H29" i="1"/>
  <c r="H30" i="1"/>
  <c r="H31" i="1"/>
  <c r="H32" i="1"/>
  <c r="H33" i="1"/>
  <c r="H34" i="1"/>
  <c r="F4" i="1"/>
  <c r="F6" i="1"/>
  <c r="F7" i="1"/>
  <c r="F8" i="1"/>
  <c r="F9" i="1"/>
  <c r="F10" i="1"/>
  <c r="F11" i="1"/>
  <c r="F12" i="1"/>
  <c r="F14" i="1"/>
  <c r="F15" i="1"/>
  <c r="F16" i="1"/>
  <c r="F17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N2" i="1"/>
  <c r="L32" i="1"/>
  <c r="L33" i="1"/>
  <c r="L34" i="1"/>
  <c r="L35" i="1"/>
  <c r="L36" i="1"/>
  <c r="L37" i="1"/>
  <c r="L38" i="1"/>
  <c r="L2" i="1"/>
  <c r="R39" i="1" l="1"/>
  <c r="P39" i="1"/>
  <c r="N39" i="1"/>
  <c r="L39" i="1"/>
  <c r="J37" i="1"/>
  <c r="J38" i="1"/>
  <c r="H35" i="1"/>
  <c r="H36" i="1"/>
  <c r="H37" i="1"/>
  <c r="H38" i="1"/>
  <c r="F38" i="1"/>
  <c r="J2" i="1"/>
  <c r="H2" i="1"/>
  <c r="F3" i="1"/>
  <c r="F2" i="1"/>
  <c r="D36" i="1"/>
  <c r="D37" i="1"/>
  <c r="D38" i="1"/>
  <c r="D2" i="1"/>
  <c r="D39" i="1" l="1"/>
  <c r="H39" i="1"/>
  <c r="F39" i="1"/>
  <c r="J39" i="1" l="1"/>
</calcChain>
</file>

<file path=xl/sharedStrings.xml><?xml version="1.0" encoding="utf-8"?>
<sst xmlns="http://schemas.openxmlformats.org/spreadsheetml/2006/main" count="224" uniqueCount="148">
  <si>
    <t>Part</t>
  </si>
  <si>
    <t>Bottle Connector</t>
  </si>
  <si>
    <t>Bottle</t>
  </si>
  <si>
    <t>Spliced Bottles</t>
  </si>
  <si>
    <t>Payload Body</t>
  </si>
  <si>
    <t>Flight Computer</t>
  </si>
  <si>
    <t>Battery</t>
  </si>
  <si>
    <t>Nose Cone Ejection Hatch</t>
  </si>
  <si>
    <t>Misc (Cords)</t>
  </si>
  <si>
    <t>Weight (grams)</t>
  </si>
  <si>
    <t>Flight Computer Mount</t>
  </si>
  <si>
    <t>Battery Mount</t>
  </si>
  <si>
    <t>Fins Type 1</t>
  </si>
  <si>
    <t>Fins Ring Type 1</t>
  </si>
  <si>
    <t>Fins Ring Type 2</t>
  </si>
  <si>
    <t>Fins Type 2</t>
  </si>
  <si>
    <t>Color</t>
  </si>
  <si>
    <t>Description</t>
  </si>
  <si>
    <t>Use</t>
  </si>
  <si>
    <t>Fins Ring Type 1 Heavy</t>
  </si>
  <si>
    <t>Light Purple</t>
  </si>
  <si>
    <t>Fins</t>
  </si>
  <si>
    <t>Customized Fin Ring</t>
  </si>
  <si>
    <t>Fins Ring Type 1 Light</t>
  </si>
  <si>
    <t>Customized Fin Ring half the height to save weight</t>
  </si>
  <si>
    <t>Fin Type 1 A</t>
  </si>
  <si>
    <t>Fin Type 1 B</t>
  </si>
  <si>
    <t>Fin Type 1 C</t>
  </si>
  <si>
    <t>Fin Type 1 D</t>
  </si>
  <si>
    <t>Dark Purple</t>
  </si>
  <si>
    <t>Orignal downloaded Fin corrected for size</t>
  </si>
  <si>
    <t>Fin Type 1 C Large</t>
  </si>
  <si>
    <t>Orignal downloaded Fin corrected for size, shape Triangle</t>
  </si>
  <si>
    <t>Orignal downloaded Fin corrected for size, shape Round</t>
  </si>
  <si>
    <t>Orignal downloaded Fin corrected for size, shape Square</t>
  </si>
  <si>
    <t>Orignal downloaded Fin corrected for size,shape Round, Large</t>
  </si>
  <si>
    <t>Rail Guide Mount</t>
  </si>
  <si>
    <t>Red</t>
  </si>
  <si>
    <t>Rail Guide Mount Foot</t>
  </si>
  <si>
    <t>Rail Guide Mount Slider</t>
  </si>
  <si>
    <t>Rail Guide Mount Ring</t>
  </si>
  <si>
    <t>Rail Guide Mount Foot to screw in base and slide in square rails</t>
  </si>
  <si>
    <t>Rail Guide Mount Slider to slide the ring up and down in the rails</t>
  </si>
  <si>
    <t>Rail Guide Mount Ring to hold body rocket straight</t>
  </si>
  <si>
    <t>Bottle &amp; Nozzle &amp; Hose Connectors</t>
  </si>
  <si>
    <t>Orange</t>
  </si>
  <si>
    <t>Hose Connector Compressed Air Pomp</t>
  </si>
  <si>
    <t>Rail Guide Square Bar</t>
  </si>
  <si>
    <t>Square Rail Guide bar of 22mm x 22mm</t>
  </si>
  <si>
    <t>Garden hose that is rated for 12 bar</t>
  </si>
  <si>
    <t>Amount</t>
  </si>
  <si>
    <t>Garden hose</t>
  </si>
  <si>
    <t>GEKA Plus Two-way valve with internal thread MS G 3/4"</t>
  </si>
  <si>
    <t>FOR_Q Hose connector, 1/2" and 5/8"</t>
  </si>
  <si>
    <t xml:space="preserve">Hose connectors to </t>
  </si>
  <si>
    <t>Hose for water</t>
  </si>
  <si>
    <t>Hose for air</t>
  </si>
  <si>
    <t>Two-way valve</t>
  </si>
  <si>
    <t>Hose Connector Compressed Air Pomp to transiation from default valve to hose</t>
  </si>
  <si>
    <t>Improved bottle connector where a o ring slides between the walls and where the bottle screws in</t>
  </si>
  <si>
    <t>Valve Connector</t>
  </si>
  <si>
    <t>Improved bottle connector where a o ring slides between the walls and where the Air Pressure Quick release threads into</t>
  </si>
  <si>
    <t xml:space="preserve">1/4 "BSP Euro Air Line-connector female fitting internal thread
</t>
  </si>
  <si>
    <t xml:space="preserve">1/4 "BSP Euro Air Line-connector male fitting with BSP female thread
</t>
  </si>
  <si>
    <t>Air Pressure Quick Release</t>
  </si>
  <si>
    <t>Air Pressure Quick Release Fitting</t>
  </si>
  <si>
    <t>Light Green</t>
  </si>
  <si>
    <t>Servo Arms</t>
  </si>
  <si>
    <t>Servo Motor Arm Type 1</t>
  </si>
  <si>
    <t>Servo Motor Arm Type 2</t>
  </si>
  <si>
    <t>Servo Motor Arm Type 1 where round arm is squared</t>
  </si>
  <si>
    <t>Servo Motor Arm Type 1 where round arm is squared en extended</t>
  </si>
  <si>
    <t>Dark Green</t>
  </si>
  <si>
    <t>Launching Platform Air Pressure Release</t>
  </si>
  <si>
    <t>Launch Platform Base Air pressure Quick release</t>
  </si>
  <si>
    <t>Green</t>
  </si>
  <si>
    <t>Launching Platform Cable Tie Release</t>
  </si>
  <si>
    <t>Remix</t>
  </si>
  <si>
    <t>https://www.thingiverse.com/thing:4564390</t>
  </si>
  <si>
    <t>https://www.thingiverse.com/thing:3642349</t>
  </si>
  <si>
    <t>https://www.thingiverse.com/thing:294758</t>
  </si>
  <si>
    <t>https://www.thingiverse.com/thing:2835346</t>
  </si>
  <si>
    <t>Payload Enclosure</t>
  </si>
  <si>
    <t>Yellow</t>
  </si>
  <si>
    <t>Blue</t>
  </si>
  <si>
    <t>Parachute Ejection Module</t>
  </si>
  <si>
    <t>Simple Rocket &amp; Parachute Module</t>
  </si>
  <si>
    <t>Gray</t>
  </si>
  <si>
    <t>Launch Platform Foot</t>
  </si>
  <si>
    <t>Launch Platform Leg</t>
  </si>
  <si>
    <t>Launch Platform Air pressure Cable Tie Trigger</t>
  </si>
  <si>
    <t>Launch Platform Air pressure Cable Tie Holder</t>
  </si>
  <si>
    <t>https://www.raketfuedrockets.com/en/3dprinting.htm#xl_PodPad</t>
  </si>
  <si>
    <t>Customized Raketfuedrockets PodPad Launch Platform Base for Air pressure Quick release BSP Euro line</t>
  </si>
  <si>
    <t>PodPad Launch Platform Foot</t>
  </si>
  <si>
    <t>Launch Platform Air pressure Quick release Trigger</t>
  </si>
  <si>
    <t>Customized Raketfuedrockets PodPad Launch Platform Qucik Release for Air pressure BSP Euro line</t>
  </si>
  <si>
    <t>Launch Platform Base Air pressure Cable Tie</t>
  </si>
  <si>
    <t>Customized Raketfuedrockets PodPad Launch Platform Base for Air pressure Cable Tie</t>
  </si>
  <si>
    <t>Standard Cable Tie Trigger</t>
  </si>
  <si>
    <t>Standard Cable Tie Holder</t>
  </si>
  <si>
    <t>Standard Cable Tie Slider</t>
  </si>
  <si>
    <t>Payload Bottle Connector Type A</t>
  </si>
  <si>
    <t>Nose Cone Tip</t>
  </si>
  <si>
    <t>Mount for ESP32 controller</t>
  </si>
  <si>
    <t>Mount for 3000 mAh Li-On Battery 7.4 V</t>
  </si>
  <si>
    <t>Connector between top of bottle and and Payload Body</t>
  </si>
  <si>
    <t>Payload body with small rails to mount ESP and Battery</t>
  </si>
  <si>
    <t>Nose Cone Tip of the parachute eject system</t>
  </si>
  <si>
    <t xml:space="preserve">Nose Cone Body of the parachute eject system that slides over body </t>
  </si>
  <si>
    <t>Payload Bottle Connector Type B</t>
  </si>
  <si>
    <t>Connector between top of bottle and and Parachute Body</t>
  </si>
  <si>
    <t>Nose Cone Body Type B</t>
  </si>
  <si>
    <t>Nose Cone Body Type A</t>
  </si>
  <si>
    <t>Payload Nose Connector</t>
  </si>
  <si>
    <t>Connector between top of the Payload Body and the Nose</t>
  </si>
  <si>
    <t>Nose Cone Body of the parachute eject system that connects to Payload Bottle Connector Type A</t>
  </si>
  <si>
    <t>Nose Cone Ejection hach of the parachute eject system</t>
  </si>
  <si>
    <t>Launch Platform Air pressure Cable Tie Slider</t>
  </si>
  <si>
    <t>Parachute Mechanical Trigger Part 1</t>
  </si>
  <si>
    <t>Parachute Mechanical Trigger Part 2</t>
  </si>
  <si>
    <t>Parachute Mechanical Trigger Part Square</t>
  </si>
  <si>
    <t>Parachute Mechanical Trigger Part Stick</t>
  </si>
  <si>
    <t>Nose Cone Ejection Hatch + Adapter Ring</t>
  </si>
  <si>
    <t>Nose Cone Tip C</t>
  </si>
  <si>
    <t>Nozzle A</t>
  </si>
  <si>
    <t>Parachute Small 65cm</t>
  </si>
  <si>
    <t>Parachute Medium 90cm</t>
  </si>
  <si>
    <t>Parachute Large 150cm</t>
  </si>
  <si>
    <t>Payload Bottle Connector Type C</t>
  </si>
  <si>
    <t>Payload Bottle Connector Type D</t>
  </si>
  <si>
    <t>Payload Body A/B/C</t>
  </si>
  <si>
    <t>Flight Computer Mount A/B/C</t>
  </si>
  <si>
    <t>Battery Mount A/B/C</t>
  </si>
  <si>
    <t>Nose Cone Tip A</t>
  </si>
  <si>
    <t>Nose Cone Ejection Hatch A/B/C</t>
  </si>
  <si>
    <t>Nose Cone Adapter Ring A/B/C</t>
  </si>
  <si>
    <t>Nozzle Connector A/B/C</t>
  </si>
  <si>
    <t>Payload Body D</t>
  </si>
  <si>
    <t>Parachute Body Type A</t>
  </si>
  <si>
    <t>Parachute + Nose Cone Body Type B</t>
  </si>
  <si>
    <t>Parachute + Nose Cone Body Type C</t>
  </si>
  <si>
    <t>Parachute Body Type D</t>
  </si>
  <si>
    <t>Nose Cone Tip D</t>
  </si>
  <si>
    <t>Flight Computer Mount D</t>
  </si>
  <si>
    <t>Nozzle + Connector D</t>
  </si>
  <si>
    <t>Nozzle + Connector E</t>
  </si>
  <si>
    <t>Payload Bottle Connector + Body + Payload +FC + Bat + Para + EH Type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</si>
</sst>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3" xfId="0" applyBorder="1"/>
    <xf numFmtId="0" fontId="1" fillId="0" borderId="1" xfId="0" applyFont="1" applyBorder="1"/>
    <xf numFmtId="0" fontId="0" fillId="0" borderId="6" xfId="0" applyBorder="1"/>
    <xf numFmtId="0" fontId="0" fillId="0" borderId="4" xfId="0" applyBorder="1"/>
    <xf numFmtId="0" fontId="1" fillId="0" borderId="4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9" xfId="0" applyBorder="1" applyAlignment="1">
      <alignment horizontal="center" wrapText="1"/>
    </xf>
    <xf numFmtId="9" fontId="0" fillId="0" borderId="2" xfId="1" applyFont="1" applyFill="1" applyBorder="1" applyAlignment="1">
      <alignment horizontal="center" wrapText="1"/>
    </xf>
    <xf numFmtId="0" fontId="1" fillId="0" borderId="6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</cellXfs>
  <cellStyles count="2">
    <cellStyle name="Procent" xfId="1" builtinId="5"/>
    <cellStyle name="Standaard" xfId="0" builtinId="0"/>
  </cellStyles>
  <dxfs count="2"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DCA1F5-7D03-49CA-9541-DA4BC3593CDE}" name="Tabel1" displayName="Tabel1" ref="A1:E36" totalsRowShown="0" headerRowDxfId="1">
  <autoFilter ref="A1:E36" xr:uid="{01DCA1F5-7D03-49CA-9541-DA4BC3593CDE}"/>
  <tableColumns count="5">
    <tableColumn id="1" xr3:uid="{4D08D9E2-DD36-4605-8538-0E3FE2012202}" name="Part"/>
    <tableColumn id="2" xr3:uid="{032B3B0C-5B53-48C1-B45B-48CCACDA27E3}" name="Color"/>
    <tableColumn id="3" xr3:uid="{9B0E1B5C-12F5-471C-B4F6-C7A26848EEA0}" name="Use"/>
    <tableColumn id="4" xr3:uid="{2B37FF00-CAFC-49A9-8611-2570AC45F285}" name="Description" dataDxfId="0"/>
    <tableColumn id="5" xr3:uid="{3088C37C-AEF9-469F-B242-E443B6147DC8}" name="Remix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86535D-F8A9-4B2A-8D7E-A3B50A57ADFF}" name="Tabel2" displayName="Tabel2" ref="A1:D20" totalsRowShown="0">
  <autoFilter ref="A1:D20" xr:uid="{2A86535D-F8A9-4B2A-8D7E-A3B50A57ADFF}"/>
  <tableColumns count="4">
    <tableColumn id="1" xr3:uid="{DAF97306-B632-4DC4-A36B-863D0AA2F783}" name="Part"/>
    <tableColumn id="2" xr3:uid="{DDE2FBA0-34F7-4A70-9EB0-A5D5EEFE439F}" name="Amount"/>
    <tableColumn id="3" xr3:uid="{6C3ED479-B624-4107-807A-E65D4AEC145E}" name="Use"/>
    <tableColumn id="4" xr3:uid="{C9BBCE93-E37B-458A-8DFB-EFFE9EE5B27A}" name="Description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zoomScaleNormal="100" workbookViewId="0">
      <pane xSplit="2" topLeftCell="E1" activePane="topRight" state="frozen"/>
      <selection pane="topRight" activeCell="R40" sqref="R40"/>
    </sheetView>
  </sheetViews>
  <sheetFormatPr defaultRowHeight="15" x14ac:dyDescent="0.25"/>
  <cols>
    <col min="1" max="1" width="37.7109375" bestFit="1" customWidth="1"/>
    <col min="2" max="2" width="14.85546875" customWidth="1"/>
    <col min="3" max="10" width="14.85546875" style="7" customWidth="1"/>
    <col min="11" max="11" width="14.85546875" customWidth="1"/>
    <col min="12" max="12" width="16.85546875" customWidth="1"/>
    <col min="13" max="18" width="14.85546875" customWidth="1"/>
  </cols>
  <sheetData>
    <row r="1" spans="1:18" s="1" customFormat="1" ht="45.75" thickBot="1" x14ac:dyDescent="0.3">
      <c r="A1" s="3" t="s">
        <v>0</v>
      </c>
      <c r="B1" s="15" t="s">
        <v>9</v>
      </c>
      <c r="C1" s="15" t="str">
        <f>_xlfn.CONCAT("# Parts ",C39," L Rocket A")</f>
        <v># Parts 1,5 L Rocket A</v>
      </c>
      <c r="D1" s="16" t="str">
        <f>_xlfn.CONCAT("Total Weight ",C39," L Rocket A")</f>
        <v>Total Weight 1,5 L Rocket A</v>
      </c>
      <c r="E1" s="15" t="str">
        <f>_xlfn.CONCAT("# Parts ",E39," L Rocket B")</f>
        <v># Parts 4,125 L Rocket B</v>
      </c>
      <c r="F1" s="16" t="str">
        <f>_xlfn.CONCAT("Total Weight ",E39," L Rocket B")</f>
        <v>Total Weight 4,125 L Rocket B</v>
      </c>
      <c r="G1" s="15" t="str">
        <f>_xlfn.CONCAT("# Parts ",G39," L Rocket B")</f>
        <v># Parts 6,75 L Rocket B</v>
      </c>
      <c r="H1" s="16" t="str">
        <f>_xlfn.CONCAT("Total Weight ",G39," L Rocket B")</f>
        <v>Total Weight 6,75 L Rocket B</v>
      </c>
      <c r="I1" s="15" t="str">
        <f>_xlfn.CONCAT("# Parts ",I39," L Rocket B")</f>
        <v># Parts 9,375 L Rocket B</v>
      </c>
      <c r="J1" s="16" t="str">
        <f>_xlfn.CONCAT("Total Weight ",I39," L Rocket B")</f>
        <v>Total Weight 9,375 L Rocket B</v>
      </c>
      <c r="K1" s="15" t="str">
        <f>_xlfn.CONCAT("# Parts ",K39," L Rocket B")</f>
        <v># Parts 12 L Rocket B</v>
      </c>
      <c r="L1" s="16" t="str">
        <f>_xlfn.CONCAT("Total Weight ",K39," L Rocket B")</f>
        <v>Total Weight 12 L Rocket B</v>
      </c>
      <c r="M1" s="15" t="str">
        <f>_xlfn.CONCAT("# Parts ",M39," L Rocket C")</f>
        <v># Parts 12 L Rocket C</v>
      </c>
      <c r="N1" s="16" t="str">
        <f>_xlfn.CONCAT("Total Weight ",M39," L Rocket C")</f>
        <v>Total Weight 12 L Rocket C</v>
      </c>
      <c r="O1" s="15" t="str">
        <f>_xlfn.CONCAT("# Parts ",O39," L Rocket D")</f>
        <v># Parts 12 L Rocket D</v>
      </c>
      <c r="P1" s="16" t="str">
        <f>_xlfn.CONCAT("Total Weight ",O39," L Rocket D")</f>
        <v>Total Weight 12 L Rocket D</v>
      </c>
      <c r="Q1" s="15" t="str">
        <f>_xlfn.CONCAT("# Parts ",Q39," L Rocket E")</f>
        <v># Parts 12 L Rocket E</v>
      </c>
      <c r="R1" s="16" t="str">
        <f>_xlfn.CONCAT("Total Weight ",Q39," L Rocket E")</f>
        <v>Total Weight 12 L Rocket E</v>
      </c>
    </row>
    <row r="2" spans="1:18" x14ac:dyDescent="0.25">
      <c r="A2" s="2" t="s">
        <v>125</v>
      </c>
      <c r="B2" s="2">
        <v>19</v>
      </c>
      <c r="C2" s="11">
        <v>1</v>
      </c>
      <c r="D2" s="8">
        <f>B2*C2</f>
        <v>19</v>
      </c>
      <c r="E2" s="11">
        <v>1</v>
      </c>
      <c r="F2" s="8">
        <f>B2*E2</f>
        <v>19</v>
      </c>
      <c r="G2" s="11">
        <v>1</v>
      </c>
      <c r="H2" s="8">
        <f>B2*G2</f>
        <v>19</v>
      </c>
      <c r="I2" s="11">
        <v>1</v>
      </c>
      <c r="J2" s="8">
        <f>B2*I2</f>
        <v>19</v>
      </c>
      <c r="K2" s="7">
        <v>1</v>
      </c>
      <c r="L2" s="8">
        <f>B2*K2</f>
        <v>19</v>
      </c>
      <c r="M2" s="7">
        <v>1</v>
      </c>
      <c r="N2" s="8">
        <f>B2*M2</f>
        <v>19</v>
      </c>
      <c r="O2" s="7">
        <v>0</v>
      </c>
      <c r="P2" s="8">
        <f>B2*O2</f>
        <v>0</v>
      </c>
      <c r="Q2" s="7">
        <v>0</v>
      </c>
      <c r="R2" s="8">
        <f>$B2*Q2</f>
        <v>0</v>
      </c>
    </row>
    <row r="3" spans="1:18" x14ac:dyDescent="0.25">
      <c r="A3" s="2" t="s">
        <v>137</v>
      </c>
      <c r="B3" s="2">
        <v>23</v>
      </c>
      <c r="C3" s="11">
        <v>1</v>
      </c>
      <c r="D3" s="8">
        <f t="shared" ref="D3:D35" si="0">B3*C3</f>
        <v>23</v>
      </c>
      <c r="E3" s="11">
        <v>1</v>
      </c>
      <c r="F3" s="8">
        <f t="shared" ref="F3:F38" si="1">B3*E3</f>
        <v>23</v>
      </c>
      <c r="G3" s="11">
        <v>1</v>
      </c>
      <c r="H3" s="8">
        <f t="shared" ref="H3:H34" si="2">B3*G3</f>
        <v>23</v>
      </c>
      <c r="I3" s="11">
        <v>1</v>
      </c>
      <c r="J3" s="8">
        <f t="shared" ref="J3:J36" si="3">B3*I3</f>
        <v>23</v>
      </c>
      <c r="K3" s="7">
        <v>1</v>
      </c>
      <c r="L3" s="8">
        <f>B3*K3</f>
        <v>23</v>
      </c>
      <c r="M3" s="7">
        <v>1</v>
      </c>
      <c r="N3" s="8">
        <f>B3*M3</f>
        <v>23</v>
      </c>
      <c r="O3" s="7">
        <v>0</v>
      </c>
      <c r="P3" s="8">
        <f>B3*O3</f>
        <v>0</v>
      </c>
      <c r="Q3" s="7">
        <v>0</v>
      </c>
      <c r="R3" s="8">
        <f t="shared" ref="R3:R38" si="4">$B3*Q3</f>
        <v>0</v>
      </c>
    </row>
    <row r="4" spans="1:18" x14ac:dyDescent="0.25">
      <c r="A4" s="2" t="s">
        <v>145</v>
      </c>
      <c r="B4" s="2">
        <v>12</v>
      </c>
      <c r="C4" s="11">
        <v>0</v>
      </c>
      <c r="D4" s="8">
        <f t="shared" si="0"/>
        <v>0</v>
      </c>
      <c r="E4" s="11">
        <v>0</v>
      </c>
      <c r="F4" s="8">
        <f t="shared" si="1"/>
        <v>0</v>
      </c>
      <c r="G4" s="11">
        <v>0</v>
      </c>
      <c r="H4" s="8">
        <f t="shared" si="2"/>
        <v>0</v>
      </c>
      <c r="I4" s="11">
        <v>0</v>
      </c>
      <c r="J4" s="8">
        <f t="shared" si="3"/>
        <v>0</v>
      </c>
      <c r="K4" s="7">
        <v>0</v>
      </c>
      <c r="L4" s="8">
        <f>B4*K4</f>
        <v>0</v>
      </c>
      <c r="M4" s="7">
        <v>0</v>
      </c>
      <c r="N4" s="8">
        <f>B4*M4</f>
        <v>0</v>
      </c>
      <c r="O4" s="7">
        <v>1</v>
      </c>
      <c r="P4" s="8">
        <f>B4*O4</f>
        <v>12</v>
      </c>
      <c r="Q4" s="7">
        <v>0</v>
      </c>
      <c r="R4" s="8">
        <f t="shared" si="4"/>
        <v>0</v>
      </c>
    </row>
    <row r="5" spans="1:18" x14ac:dyDescent="0.25">
      <c r="A5" s="2" t="s">
        <v>146</v>
      </c>
      <c r="B5" s="2">
        <v>14</v>
      </c>
      <c r="C5" s="11">
        <v>0</v>
      </c>
      <c r="D5" s="8">
        <f t="shared" ref="D5" si="5">B5*C5</f>
        <v>0</v>
      </c>
      <c r="E5" s="11">
        <v>0</v>
      </c>
      <c r="F5" s="8">
        <f t="shared" ref="F5" si="6">B5*E5</f>
        <v>0</v>
      </c>
      <c r="G5" s="11">
        <v>0</v>
      </c>
      <c r="H5" s="8">
        <f t="shared" ref="H5" si="7">B5*G5</f>
        <v>0</v>
      </c>
      <c r="I5" s="11">
        <v>0</v>
      </c>
      <c r="J5" s="8">
        <f t="shared" ref="J5" si="8">B5*I5</f>
        <v>0</v>
      </c>
      <c r="K5" s="7">
        <v>0</v>
      </c>
      <c r="L5" s="8">
        <f>B5*K5</f>
        <v>0</v>
      </c>
      <c r="M5" s="7">
        <v>0</v>
      </c>
      <c r="N5" s="8">
        <f>B5*M5</f>
        <v>0</v>
      </c>
      <c r="O5" s="7">
        <v>0</v>
      </c>
      <c r="P5" s="8">
        <f>B5*O5</f>
        <v>0</v>
      </c>
      <c r="Q5" s="7">
        <v>1</v>
      </c>
      <c r="R5" s="8">
        <f t="shared" si="4"/>
        <v>14</v>
      </c>
    </row>
    <row r="6" spans="1:18" x14ac:dyDescent="0.25">
      <c r="A6" s="2" t="s">
        <v>1</v>
      </c>
      <c r="B6" s="2">
        <v>26</v>
      </c>
      <c r="C6" s="11">
        <v>0</v>
      </c>
      <c r="D6" s="8">
        <f t="shared" si="0"/>
        <v>0</v>
      </c>
      <c r="E6" s="11">
        <v>1</v>
      </c>
      <c r="F6" s="8">
        <f t="shared" si="1"/>
        <v>26</v>
      </c>
      <c r="G6" s="11">
        <v>2</v>
      </c>
      <c r="H6" s="8">
        <f t="shared" si="2"/>
        <v>52</v>
      </c>
      <c r="I6" s="11">
        <v>3</v>
      </c>
      <c r="J6" s="8">
        <f t="shared" si="3"/>
        <v>78</v>
      </c>
      <c r="K6" s="7">
        <v>4</v>
      </c>
      <c r="L6" s="8">
        <f>B6*K6</f>
        <v>104</v>
      </c>
      <c r="M6" s="7">
        <v>4</v>
      </c>
      <c r="N6" s="8">
        <f>B6*M6</f>
        <v>104</v>
      </c>
      <c r="O6" s="7">
        <v>4</v>
      </c>
      <c r="P6" s="8">
        <f>B6*O6</f>
        <v>104</v>
      </c>
      <c r="Q6" s="7">
        <v>4</v>
      </c>
      <c r="R6" s="8">
        <f t="shared" si="4"/>
        <v>104</v>
      </c>
    </row>
    <row r="7" spans="1:18" x14ac:dyDescent="0.25">
      <c r="A7" s="2" t="s">
        <v>2</v>
      </c>
      <c r="B7" s="2">
        <v>41</v>
      </c>
      <c r="C7" s="11">
        <v>1</v>
      </c>
      <c r="D7" s="8">
        <f t="shared" si="0"/>
        <v>41</v>
      </c>
      <c r="E7" s="11">
        <v>1</v>
      </c>
      <c r="F7" s="8">
        <f t="shared" si="1"/>
        <v>41</v>
      </c>
      <c r="G7" s="11">
        <v>1</v>
      </c>
      <c r="H7" s="8">
        <f t="shared" si="2"/>
        <v>41</v>
      </c>
      <c r="I7" s="11">
        <v>1</v>
      </c>
      <c r="J7" s="8">
        <f t="shared" si="3"/>
        <v>41</v>
      </c>
      <c r="K7" s="7">
        <v>1</v>
      </c>
      <c r="L7" s="8">
        <f>B7*K7</f>
        <v>41</v>
      </c>
      <c r="M7" s="7">
        <v>1</v>
      </c>
      <c r="N7" s="8">
        <f>B7*M7</f>
        <v>41</v>
      </c>
      <c r="O7" s="7">
        <v>1</v>
      </c>
      <c r="P7" s="8">
        <f>B7*O7</f>
        <v>41</v>
      </c>
      <c r="Q7" s="7">
        <v>1</v>
      </c>
      <c r="R7" s="8">
        <f t="shared" si="4"/>
        <v>41</v>
      </c>
    </row>
    <row r="8" spans="1:18" x14ac:dyDescent="0.25">
      <c r="A8" s="2" t="s">
        <v>3</v>
      </c>
      <c r="B8" s="2">
        <v>80</v>
      </c>
      <c r="C8" s="11">
        <v>0</v>
      </c>
      <c r="D8" s="8">
        <f t="shared" si="0"/>
        <v>0</v>
      </c>
      <c r="E8" s="11">
        <v>1</v>
      </c>
      <c r="F8" s="8">
        <f t="shared" si="1"/>
        <v>80</v>
      </c>
      <c r="G8" s="11">
        <v>2</v>
      </c>
      <c r="H8" s="8">
        <f t="shared" si="2"/>
        <v>160</v>
      </c>
      <c r="I8" s="11">
        <v>3</v>
      </c>
      <c r="J8" s="8">
        <f t="shared" si="3"/>
        <v>240</v>
      </c>
      <c r="K8" s="7">
        <v>4</v>
      </c>
      <c r="L8" s="8">
        <f>B8*K8</f>
        <v>320</v>
      </c>
      <c r="M8" s="7">
        <v>4</v>
      </c>
      <c r="N8" s="8">
        <f>B8*M8</f>
        <v>320</v>
      </c>
      <c r="O8" s="7">
        <v>4</v>
      </c>
      <c r="P8" s="8">
        <f>B8*O8</f>
        <v>320</v>
      </c>
      <c r="Q8" s="7">
        <v>4</v>
      </c>
      <c r="R8" s="8">
        <f t="shared" si="4"/>
        <v>320</v>
      </c>
    </row>
    <row r="9" spans="1:18" x14ac:dyDescent="0.25">
      <c r="A9" s="2" t="s">
        <v>102</v>
      </c>
      <c r="B9" s="2">
        <v>43</v>
      </c>
      <c r="C9" s="11">
        <v>1</v>
      </c>
      <c r="D9" s="8">
        <f t="shared" si="0"/>
        <v>43</v>
      </c>
      <c r="E9" s="11">
        <v>0</v>
      </c>
      <c r="F9" s="8">
        <f t="shared" si="1"/>
        <v>0</v>
      </c>
      <c r="G9" s="11">
        <v>0</v>
      </c>
      <c r="H9" s="8">
        <f t="shared" si="2"/>
        <v>0</v>
      </c>
      <c r="I9" s="11">
        <v>0</v>
      </c>
      <c r="J9" s="8">
        <f t="shared" si="3"/>
        <v>0</v>
      </c>
      <c r="K9" s="7">
        <v>1</v>
      </c>
      <c r="L9" s="8">
        <f>B9*K9</f>
        <v>43</v>
      </c>
      <c r="M9" s="7">
        <v>0</v>
      </c>
      <c r="N9" s="8">
        <f>B9*M9</f>
        <v>0</v>
      </c>
      <c r="O9" s="7">
        <v>0</v>
      </c>
      <c r="P9" s="8">
        <f>B9*O9</f>
        <v>0</v>
      </c>
      <c r="Q9" s="7">
        <v>0</v>
      </c>
      <c r="R9" s="8">
        <f t="shared" si="4"/>
        <v>0</v>
      </c>
    </row>
    <row r="10" spans="1:18" x14ac:dyDescent="0.25">
      <c r="A10" s="2" t="s">
        <v>110</v>
      </c>
      <c r="B10" s="2">
        <v>47</v>
      </c>
      <c r="C10" s="11">
        <v>0</v>
      </c>
      <c r="D10" s="8">
        <f t="shared" si="0"/>
        <v>0</v>
      </c>
      <c r="E10" s="11">
        <v>1</v>
      </c>
      <c r="F10" s="8">
        <f t="shared" si="1"/>
        <v>47</v>
      </c>
      <c r="G10" s="11">
        <v>1</v>
      </c>
      <c r="H10" s="8">
        <f t="shared" si="2"/>
        <v>47</v>
      </c>
      <c r="I10" s="11">
        <v>1</v>
      </c>
      <c r="J10" s="8">
        <f t="shared" si="3"/>
        <v>47</v>
      </c>
      <c r="K10" s="7">
        <v>0</v>
      </c>
      <c r="L10" s="8">
        <f>B10*K10</f>
        <v>0</v>
      </c>
      <c r="M10" s="7">
        <v>0</v>
      </c>
      <c r="N10" s="8">
        <f>B10*M10</f>
        <v>0</v>
      </c>
      <c r="O10" s="7">
        <v>0</v>
      </c>
      <c r="P10" s="8">
        <f>B10*O10</f>
        <v>0</v>
      </c>
      <c r="Q10" s="7">
        <v>0</v>
      </c>
      <c r="R10" s="8">
        <f t="shared" si="4"/>
        <v>0</v>
      </c>
    </row>
    <row r="11" spans="1:18" x14ac:dyDescent="0.25">
      <c r="A11" s="2" t="s">
        <v>129</v>
      </c>
      <c r="B11" s="2">
        <v>40</v>
      </c>
      <c r="C11" s="11">
        <v>0</v>
      </c>
      <c r="D11" s="8">
        <f t="shared" si="0"/>
        <v>0</v>
      </c>
      <c r="E11" s="11">
        <v>0</v>
      </c>
      <c r="F11" s="8">
        <f t="shared" si="1"/>
        <v>0</v>
      </c>
      <c r="G11" s="11">
        <v>0</v>
      </c>
      <c r="H11" s="8">
        <f t="shared" si="2"/>
        <v>0</v>
      </c>
      <c r="I11" s="11">
        <v>0</v>
      </c>
      <c r="J11" s="8">
        <f t="shared" si="3"/>
        <v>0</v>
      </c>
      <c r="K11" s="7">
        <v>0</v>
      </c>
      <c r="L11" s="8">
        <f>B11*K11</f>
        <v>0</v>
      </c>
      <c r="M11" s="7">
        <v>1</v>
      </c>
      <c r="N11" s="8">
        <f>B11*M11</f>
        <v>40</v>
      </c>
      <c r="O11" s="7">
        <v>0</v>
      </c>
      <c r="P11" s="8">
        <f>B11*O11</f>
        <v>0</v>
      </c>
      <c r="Q11" s="7">
        <v>0</v>
      </c>
      <c r="R11" s="8">
        <f t="shared" si="4"/>
        <v>0</v>
      </c>
    </row>
    <row r="12" spans="1:18" x14ac:dyDescent="0.25">
      <c r="A12" s="2" t="s">
        <v>130</v>
      </c>
      <c r="B12" s="2">
        <v>26</v>
      </c>
      <c r="C12" s="11">
        <v>0</v>
      </c>
      <c r="D12" s="8">
        <f t="shared" si="0"/>
        <v>0</v>
      </c>
      <c r="E12" s="11">
        <v>0</v>
      </c>
      <c r="F12" s="8">
        <f t="shared" si="1"/>
        <v>0</v>
      </c>
      <c r="G12" s="11">
        <v>0</v>
      </c>
      <c r="H12" s="8">
        <f t="shared" si="2"/>
        <v>0</v>
      </c>
      <c r="I12" s="11">
        <v>0</v>
      </c>
      <c r="J12" s="8">
        <f t="shared" si="3"/>
        <v>0</v>
      </c>
      <c r="K12" s="7">
        <v>0</v>
      </c>
      <c r="L12" s="8">
        <f>B12*K12</f>
        <v>0</v>
      </c>
      <c r="M12" s="7">
        <v>0</v>
      </c>
      <c r="N12" s="8">
        <f>B12*M12</f>
        <v>0</v>
      </c>
      <c r="O12" s="7">
        <v>1</v>
      </c>
      <c r="P12" s="8">
        <f>B12*O12</f>
        <v>26</v>
      </c>
      <c r="Q12" s="7">
        <v>0</v>
      </c>
      <c r="R12" s="8">
        <f t="shared" si="4"/>
        <v>0</v>
      </c>
    </row>
    <row r="13" spans="1:18" x14ac:dyDescent="0.25">
      <c r="A13" s="2" t="s">
        <v>147</v>
      </c>
      <c r="B13" s="2">
        <v>400</v>
      </c>
      <c r="C13" s="11">
        <v>0</v>
      </c>
      <c r="D13" s="8">
        <f t="shared" si="0"/>
        <v>0</v>
      </c>
      <c r="E13" s="11">
        <v>0</v>
      </c>
      <c r="F13" s="8">
        <f t="shared" si="1"/>
        <v>0</v>
      </c>
      <c r="G13" s="11">
        <v>0</v>
      </c>
      <c r="H13" s="8">
        <f t="shared" si="2"/>
        <v>0</v>
      </c>
      <c r="I13" s="11">
        <v>0</v>
      </c>
      <c r="J13" s="8">
        <f t="shared" si="3"/>
        <v>0</v>
      </c>
      <c r="K13" s="7">
        <v>0</v>
      </c>
      <c r="L13" s="8">
        <f>B13*K13</f>
        <v>0</v>
      </c>
      <c r="M13" s="7">
        <v>0</v>
      </c>
      <c r="N13" s="8">
        <f>B13*M13</f>
        <v>0</v>
      </c>
      <c r="O13" s="7">
        <v>0</v>
      </c>
      <c r="P13" s="8">
        <f>B13*O13</f>
        <v>0</v>
      </c>
      <c r="Q13" s="7">
        <v>1</v>
      </c>
      <c r="R13" s="8">
        <f t="shared" si="4"/>
        <v>400</v>
      </c>
    </row>
    <row r="14" spans="1:18" x14ac:dyDescent="0.25">
      <c r="A14" s="2" t="s">
        <v>131</v>
      </c>
      <c r="B14" s="2">
        <v>74</v>
      </c>
      <c r="C14" s="11">
        <v>0</v>
      </c>
      <c r="D14" s="8">
        <f t="shared" si="0"/>
        <v>0</v>
      </c>
      <c r="E14" s="11">
        <v>1</v>
      </c>
      <c r="F14" s="8">
        <f t="shared" si="1"/>
        <v>74</v>
      </c>
      <c r="G14" s="11">
        <v>1</v>
      </c>
      <c r="H14" s="8">
        <f t="shared" si="2"/>
        <v>74</v>
      </c>
      <c r="I14" s="11">
        <v>1</v>
      </c>
      <c r="J14" s="8">
        <f t="shared" si="3"/>
        <v>74</v>
      </c>
      <c r="K14" s="7">
        <v>0</v>
      </c>
      <c r="L14" s="8">
        <f>B14*K14</f>
        <v>0</v>
      </c>
      <c r="M14" s="7">
        <v>0</v>
      </c>
      <c r="N14" s="8">
        <f>B14*M14</f>
        <v>0</v>
      </c>
      <c r="O14" s="7">
        <v>0</v>
      </c>
      <c r="P14" s="8">
        <f>B14*O14</f>
        <v>0</v>
      </c>
      <c r="Q14" s="7">
        <v>0</v>
      </c>
      <c r="R14" s="8">
        <f t="shared" si="4"/>
        <v>0</v>
      </c>
    </row>
    <row r="15" spans="1:18" x14ac:dyDescent="0.25">
      <c r="A15" s="2" t="s">
        <v>138</v>
      </c>
      <c r="B15" s="2">
        <v>40</v>
      </c>
      <c r="C15" s="11">
        <v>0</v>
      </c>
      <c r="D15" s="8">
        <f t="shared" si="0"/>
        <v>0</v>
      </c>
      <c r="E15" s="11">
        <v>0</v>
      </c>
      <c r="F15" s="8">
        <f t="shared" si="1"/>
        <v>0</v>
      </c>
      <c r="G15" s="11">
        <v>0</v>
      </c>
      <c r="H15" s="8">
        <f t="shared" si="2"/>
        <v>0</v>
      </c>
      <c r="I15" s="11">
        <v>0</v>
      </c>
      <c r="J15" s="8">
        <f t="shared" si="3"/>
        <v>0</v>
      </c>
      <c r="K15" s="7">
        <v>0</v>
      </c>
      <c r="L15" s="8">
        <f>B15*K15</f>
        <v>0</v>
      </c>
      <c r="M15" s="7">
        <v>0</v>
      </c>
      <c r="N15" s="8">
        <f>B15*M15</f>
        <v>0</v>
      </c>
      <c r="O15" s="7">
        <v>1</v>
      </c>
      <c r="P15" s="8">
        <f>B15*O15</f>
        <v>40</v>
      </c>
      <c r="Q15" s="7">
        <v>0</v>
      </c>
      <c r="R15" s="8">
        <f t="shared" si="4"/>
        <v>0</v>
      </c>
    </row>
    <row r="16" spans="1:18" x14ac:dyDescent="0.25">
      <c r="A16" s="2" t="s">
        <v>5</v>
      </c>
      <c r="B16" s="2">
        <v>40</v>
      </c>
      <c r="C16" s="11">
        <v>0</v>
      </c>
      <c r="D16" s="8">
        <f t="shared" si="0"/>
        <v>0</v>
      </c>
      <c r="E16" s="11">
        <v>1</v>
      </c>
      <c r="F16" s="8">
        <f t="shared" si="1"/>
        <v>40</v>
      </c>
      <c r="G16" s="11">
        <v>1</v>
      </c>
      <c r="H16" s="8">
        <f t="shared" si="2"/>
        <v>40</v>
      </c>
      <c r="I16" s="11">
        <v>1</v>
      </c>
      <c r="J16" s="8">
        <f t="shared" si="3"/>
        <v>40</v>
      </c>
      <c r="K16" s="7">
        <v>0</v>
      </c>
      <c r="L16" s="8">
        <f>B16*K16</f>
        <v>0</v>
      </c>
      <c r="M16" s="7">
        <v>1</v>
      </c>
      <c r="N16" s="8">
        <f>B16*M16</f>
        <v>40</v>
      </c>
      <c r="O16" s="7">
        <v>1</v>
      </c>
      <c r="P16" s="8">
        <f>B16*O16</f>
        <v>40</v>
      </c>
      <c r="Q16" s="7">
        <v>0</v>
      </c>
      <c r="R16" s="8">
        <f t="shared" si="4"/>
        <v>0</v>
      </c>
    </row>
    <row r="17" spans="1:18" x14ac:dyDescent="0.25">
      <c r="A17" s="2" t="s">
        <v>132</v>
      </c>
      <c r="B17" s="2">
        <v>7</v>
      </c>
      <c r="C17" s="11">
        <v>0</v>
      </c>
      <c r="D17" s="8">
        <f t="shared" si="0"/>
        <v>0</v>
      </c>
      <c r="E17" s="11">
        <v>1</v>
      </c>
      <c r="F17" s="8">
        <f>B17*E17</f>
        <v>7</v>
      </c>
      <c r="G17" s="11">
        <v>1</v>
      </c>
      <c r="H17" s="8">
        <f t="shared" si="2"/>
        <v>7</v>
      </c>
      <c r="I17" s="11">
        <v>1</v>
      </c>
      <c r="J17" s="8">
        <f>B17*I17</f>
        <v>7</v>
      </c>
      <c r="K17" s="7">
        <v>0</v>
      </c>
      <c r="L17" s="8">
        <f>B17*K17</f>
        <v>0</v>
      </c>
      <c r="M17" s="7">
        <v>0</v>
      </c>
      <c r="N17" s="8">
        <f>B17*M17</f>
        <v>0</v>
      </c>
      <c r="O17" s="7">
        <v>0</v>
      </c>
      <c r="P17" s="8">
        <f>B17*O17</f>
        <v>0</v>
      </c>
      <c r="Q17" s="7">
        <v>0</v>
      </c>
      <c r="R17" s="8">
        <f t="shared" si="4"/>
        <v>0</v>
      </c>
    </row>
    <row r="18" spans="1:18" x14ac:dyDescent="0.25">
      <c r="A18" s="2" t="s">
        <v>144</v>
      </c>
      <c r="B18" s="2">
        <v>4</v>
      </c>
      <c r="C18" s="7">
        <v>0</v>
      </c>
      <c r="D18" s="8">
        <f t="shared" si="0"/>
        <v>0</v>
      </c>
      <c r="E18" s="7">
        <v>0</v>
      </c>
      <c r="F18" s="8">
        <f t="shared" ref="F18:F23" si="9">B18*E18</f>
        <v>0</v>
      </c>
      <c r="G18" s="7">
        <v>0</v>
      </c>
      <c r="H18" s="8">
        <f t="shared" si="2"/>
        <v>0</v>
      </c>
      <c r="I18" s="7">
        <v>0</v>
      </c>
      <c r="J18" s="8">
        <f t="shared" ref="J18:J23" si="10">B18*I18</f>
        <v>0</v>
      </c>
      <c r="K18" s="7">
        <v>0</v>
      </c>
      <c r="L18" s="8">
        <f>B18*K18</f>
        <v>0</v>
      </c>
      <c r="M18" s="7">
        <v>0</v>
      </c>
      <c r="N18" s="8">
        <f>B18*M18</f>
        <v>0</v>
      </c>
      <c r="O18" s="7">
        <v>1</v>
      </c>
      <c r="P18" s="8">
        <f>B18*O18</f>
        <v>4</v>
      </c>
      <c r="Q18" s="7">
        <v>0</v>
      </c>
      <c r="R18" s="8">
        <f t="shared" si="4"/>
        <v>0</v>
      </c>
    </row>
    <row r="19" spans="1:18" x14ac:dyDescent="0.25">
      <c r="A19" s="2" t="s">
        <v>6</v>
      </c>
      <c r="B19" s="2">
        <v>97</v>
      </c>
      <c r="C19" s="11">
        <v>0</v>
      </c>
      <c r="D19" s="8">
        <f t="shared" si="0"/>
        <v>0</v>
      </c>
      <c r="E19" s="11">
        <v>1</v>
      </c>
      <c r="F19" s="8">
        <f t="shared" si="9"/>
        <v>97</v>
      </c>
      <c r="G19" s="11">
        <v>1</v>
      </c>
      <c r="H19" s="8">
        <f t="shared" si="2"/>
        <v>97</v>
      </c>
      <c r="I19" s="11">
        <v>1</v>
      </c>
      <c r="J19" s="8">
        <f t="shared" si="10"/>
        <v>97</v>
      </c>
      <c r="K19" s="7">
        <v>0</v>
      </c>
      <c r="L19" s="8">
        <f>B19*K19</f>
        <v>0</v>
      </c>
      <c r="M19" s="7">
        <v>1</v>
      </c>
      <c r="N19" s="8">
        <f>B19*M19</f>
        <v>97</v>
      </c>
      <c r="O19" s="7">
        <v>1</v>
      </c>
      <c r="P19" s="8">
        <f>B19*O19</f>
        <v>97</v>
      </c>
      <c r="Q19" s="7">
        <v>0</v>
      </c>
      <c r="R19" s="8">
        <f t="shared" si="4"/>
        <v>0</v>
      </c>
    </row>
    <row r="20" spans="1:18" x14ac:dyDescent="0.25">
      <c r="A20" s="2" t="s">
        <v>133</v>
      </c>
      <c r="B20" s="2">
        <v>8</v>
      </c>
      <c r="C20" s="11">
        <v>0</v>
      </c>
      <c r="D20" s="8">
        <f t="shared" si="0"/>
        <v>0</v>
      </c>
      <c r="E20" s="11">
        <v>1</v>
      </c>
      <c r="F20" s="8">
        <f t="shared" si="9"/>
        <v>8</v>
      </c>
      <c r="G20" s="11">
        <v>1</v>
      </c>
      <c r="H20" s="8">
        <f t="shared" si="2"/>
        <v>8</v>
      </c>
      <c r="I20" s="11">
        <v>1</v>
      </c>
      <c r="J20" s="8">
        <f t="shared" si="10"/>
        <v>8</v>
      </c>
      <c r="K20" s="7">
        <v>0</v>
      </c>
      <c r="L20" s="8">
        <f>B20*K20</f>
        <v>0</v>
      </c>
      <c r="M20" s="7">
        <v>0</v>
      </c>
      <c r="N20" s="8">
        <f>B20*M20</f>
        <v>0</v>
      </c>
      <c r="O20" s="7">
        <v>0</v>
      </c>
      <c r="P20" s="8">
        <f>B20*O20</f>
        <v>0</v>
      </c>
      <c r="Q20" s="7">
        <v>0</v>
      </c>
      <c r="R20" s="8">
        <f t="shared" si="4"/>
        <v>0</v>
      </c>
    </row>
    <row r="21" spans="1:18" x14ac:dyDescent="0.25">
      <c r="A21" s="2" t="s">
        <v>126</v>
      </c>
      <c r="B21" s="2">
        <v>26</v>
      </c>
      <c r="C21" s="11">
        <v>1</v>
      </c>
      <c r="D21" s="8">
        <f t="shared" si="0"/>
        <v>26</v>
      </c>
      <c r="E21" s="11">
        <v>0</v>
      </c>
      <c r="F21" s="8">
        <f t="shared" si="9"/>
        <v>0</v>
      </c>
      <c r="G21" s="11">
        <v>0</v>
      </c>
      <c r="H21" s="8">
        <f t="shared" si="2"/>
        <v>0</v>
      </c>
      <c r="I21" s="11">
        <v>0</v>
      </c>
      <c r="J21" s="8">
        <f t="shared" si="10"/>
        <v>0</v>
      </c>
      <c r="K21" s="7">
        <v>1</v>
      </c>
      <c r="L21" s="8">
        <f>B21*K21</f>
        <v>26</v>
      </c>
      <c r="M21" s="7">
        <v>0</v>
      </c>
      <c r="N21" s="8">
        <f>B21*M21</f>
        <v>0</v>
      </c>
      <c r="O21" s="7">
        <v>0</v>
      </c>
      <c r="P21" s="8">
        <f>B21*O21</f>
        <v>0</v>
      </c>
      <c r="Q21" s="7">
        <v>0</v>
      </c>
      <c r="R21" s="8">
        <f t="shared" si="4"/>
        <v>0</v>
      </c>
    </row>
    <row r="22" spans="1:18" x14ac:dyDescent="0.25">
      <c r="A22" s="2" t="s">
        <v>127</v>
      </c>
      <c r="B22" s="2">
        <v>66</v>
      </c>
      <c r="C22" s="11">
        <v>0</v>
      </c>
      <c r="D22" s="8">
        <f t="shared" si="0"/>
        <v>0</v>
      </c>
      <c r="E22" s="11">
        <v>1</v>
      </c>
      <c r="F22" s="8">
        <f t="shared" si="9"/>
        <v>66</v>
      </c>
      <c r="G22" s="11">
        <v>1</v>
      </c>
      <c r="H22" s="8">
        <f t="shared" si="2"/>
        <v>66</v>
      </c>
      <c r="I22" s="11">
        <v>1</v>
      </c>
      <c r="J22" s="8">
        <f t="shared" si="10"/>
        <v>66</v>
      </c>
      <c r="K22" s="7">
        <v>0</v>
      </c>
      <c r="L22" s="8">
        <f>B22*K22</f>
        <v>0</v>
      </c>
      <c r="M22" s="7">
        <v>1</v>
      </c>
      <c r="N22" s="8">
        <f>B22*M22</f>
        <v>66</v>
      </c>
      <c r="O22" s="7">
        <v>1</v>
      </c>
      <c r="P22" s="8">
        <f>B22*O22</f>
        <v>66</v>
      </c>
      <c r="Q22" s="7">
        <v>0</v>
      </c>
      <c r="R22" s="8">
        <f t="shared" si="4"/>
        <v>0</v>
      </c>
    </row>
    <row r="23" spans="1:18" x14ac:dyDescent="0.25">
      <c r="A23" s="2" t="s">
        <v>128</v>
      </c>
      <c r="B23" s="2">
        <v>100</v>
      </c>
      <c r="C23" s="11">
        <v>0</v>
      </c>
      <c r="D23" s="8">
        <f t="shared" si="0"/>
        <v>0</v>
      </c>
      <c r="E23" s="11">
        <v>0</v>
      </c>
      <c r="F23" s="8">
        <f t="shared" si="9"/>
        <v>0</v>
      </c>
      <c r="G23" s="11">
        <v>0</v>
      </c>
      <c r="H23" s="8">
        <f t="shared" si="2"/>
        <v>0</v>
      </c>
      <c r="I23" s="11">
        <v>0</v>
      </c>
      <c r="J23" s="8">
        <f t="shared" si="10"/>
        <v>0</v>
      </c>
      <c r="K23" s="7">
        <v>0</v>
      </c>
      <c r="L23" s="8">
        <f>B23*K23</f>
        <v>0</v>
      </c>
      <c r="M23" s="7">
        <v>0</v>
      </c>
      <c r="N23" s="8">
        <f>B23*M23</f>
        <v>0</v>
      </c>
      <c r="O23" s="7">
        <v>0</v>
      </c>
      <c r="P23" s="8">
        <f>B23*O23</f>
        <v>0</v>
      </c>
      <c r="Q23" s="7">
        <v>0</v>
      </c>
      <c r="R23" s="8">
        <f t="shared" si="4"/>
        <v>0</v>
      </c>
    </row>
    <row r="24" spans="1:18" x14ac:dyDescent="0.25">
      <c r="A24" s="2" t="s">
        <v>134</v>
      </c>
      <c r="B24" s="2">
        <v>42</v>
      </c>
      <c r="C24" s="11">
        <v>0</v>
      </c>
      <c r="D24" s="8">
        <f t="shared" si="0"/>
        <v>0</v>
      </c>
      <c r="E24" s="11">
        <v>1</v>
      </c>
      <c r="F24" s="8">
        <f t="shared" si="1"/>
        <v>42</v>
      </c>
      <c r="G24" s="11">
        <v>1</v>
      </c>
      <c r="H24" s="8">
        <f t="shared" si="2"/>
        <v>42</v>
      </c>
      <c r="I24" s="11">
        <v>1</v>
      </c>
      <c r="J24" s="8">
        <f t="shared" si="3"/>
        <v>42</v>
      </c>
      <c r="K24" s="7">
        <v>0</v>
      </c>
      <c r="L24" s="8">
        <f>B24*K24</f>
        <v>0</v>
      </c>
      <c r="M24" s="7">
        <v>0</v>
      </c>
      <c r="N24" s="8">
        <f>B24*M24</f>
        <v>0</v>
      </c>
      <c r="O24" s="7">
        <v>0</v>
      </c>
      <c r="P24" s="8">
        <f>B24*O24</f>
        <v>0</v>
      </c>
      <c r="Q24" s="7">
        <v>0</v>
      </c>
      <c r="R24" s="8">
        <f t="shared" si="4"/>
        <v>0</v>
      </c>
    </row>
    <row r="25" spans="1:18" x14ac:dyDescent="0.25">
      <c r="A25" s="2" t="s">
        <v>124</v>
      </c>
      <c r="B25" s="2">
        <v>10</v>
      </c>
      <c r="C25" s="11">
        <v>0</v>
      </c>
      <c r="D25" s="8">
        <f t="shared" si="0"/>
        <v>0</v>
      </c>
      <c r="E25" s="11">
        <v>0</v>
      </c>
      <c r="F25" s="8">
        <f t="shared" si="1"/>
        <v>0</v>
      </c>
      <c r="G25" s="11">
        <v>0</v>
      </c>
      <c r="H25" s="8">
        <f t="shared" si="2"/>
        <v>0</v>
      </c>
      <c r="I25" s="11">
        <v>0</v>
      </c>
      <c r="J25" s="8">
        <f t="shared" si="3"/>
        <v>0</v>
      </c>
      <c r="K25" s="7">
        <v>0</v>
      </c>
      <c r="L25" s="8">
        <f>B25*K25</f>
        <v>0</v>
      </c>
      <c r="M25" s="7">
        <v>1</v>
      </c>
      <c r="N25" s="8">
        <f>B25*M25</f>
        <v>10</v>
      </c>
      <c r="O25" s="7">
        <v>0</v>
      </c>
      <c r="P25" s="8">
        <f>B25*O25</f>
        <v>0</v>
      </c>
      <c r="Q25" s="7">
        <v>0</v>
      </c>
      <c r="R25" s="8">
        <f t="shared" si="4"/>
        <v>0</v>
      </c>
    </row>
    <row r="26" spans="1:18" x14ac:dyDescent="0.25">
      <c r="A26" s="2" t="s">
        <v>143</v>
      </c>
      <c r="B26" s="2">
        <v>25</v>
      </c>
      <c r="C26" s="11">
        <v>0</v>
      </c>
      <c r="D26" s="8">
        <f t="shared" si="0"/>
        <v>0</v>
      </c>
      <c r="E26" s="11">
        <v>0</v>
      </c>
      <c r="F26" s="8">
        <f t="shared" si="1"/>
        <v>0</v>
      </c>
      <c r="G26" s="11">
        <v>0</v>
      </c>
      <c r="H26" s="8">
        <f t="shared" si="2"/>
        <v>0</v>
      </c>
      <c r="I26" s="11">
        <v>0</v>
      </c>
      <c r="J26" s="8">
        <f t="shared" si="3"/>
        <v>0</v>
      </c>
      <c r="K26" s="7">
        <v>0</v>
      </c>
      <c r="L26" s="8">
        <f>B26*K26</f>
        <v>0</v>
      </c>
      <c r="M26" s="7">
        <v>0</v>
      </c>
      <c r="N26" s="8">
        <f>B26*M26</f>
        <v>0</v>
      </c>
      <c r="O26" s="7">
        <v>1</v>
      </c>
      <c r="P26" s="8">
        <f>B26*O26</f>
        <v>25</v>
      </c>
      <c r="Q26" s="7">
        <v>0</v>
      </c>
      <c r="R26" s="8">
        <f t="shared" si="4"/>
        <v>0</v>
      </c>
    </row>
    <row r="27" spans="1:18" x14ac:dyDescent="0.25">
      <c r="A27" s="2" t="s">
        <v>139</v>
      </c>
      <c r="B27" s="2">
        <v>36</v>
      </c>
      <c r="C27" s="11">
        <v>1</v>
      </c>
      <c r="D27" s="8">
        <f t="shared" si="0"/>
        <v>36</v>
      </c>
      <c r="E27" s="11">
        <v>0</v>
      </c>
      <c r="F27" s="8">
        <f t="shared" si="1"/>
        <v>0</v>
      </c>
      <c r="G27" s="11">
        <v>0</v>
      </c>
      <c r="H27" s="8">
        <f t="shared" si="2"/>
        <v>0</v>
      </c>
      <c r="I27" s="11">
        <v>0</v>
      </c>
      <c r="J27" s="8">
        <f t="shared" si="3"/>
        <v>0</v>
      </c>
      <c r="K27" s="7">
        <v>1</v>
      </c>
      <c r="L27" s="8">
        <f>B27*K27</f>
        <v>36</v>
      </c>
      <c r="M27" s="7">
        <v>0</v>
      </c>
      <c r="N27" s="8">
        <f>B27*M27</f>
        <v>0</v>
      </c>
      <c r="O27" s="7">
        <v>0</v>
      </c>
      <c r="P27" s="8">
        <f>B27*O27</f>
        <v>0</v>
      </c>
      <c r="Q27" s="7">
        <v>0</v>
      </c>
      <c r="R27" s="8">
        <f t="shared" si="4"/>
        <v>0</v>
      </c>
    </row>
    <row r="28" spans="1:18" x14ac:dyDescent="0.25">
      <c r="A28" s="2" t="s">
        <v>142</v>
      </c>
      <c r="B28" s="2">
        <v>30</v>
      </c>
      <c r="C28" s="11">
        <v>0</v>
      </c>
      <c r="D28" s="8">
        <f t="shared" si="0"/>
        <v>0</v>
      </c>
      <c r="E28" s="11">
        <v>0</v>
      </c>
      <c r="F28" s="8">
        <f t="shared" si="1"/>
        <v>0</v>
      </c>
      <c r="G28" s="11">
        <v>0</v>
      </c>
      <c r="H28" s="8">
        <f t="shared" si="2"/>
        <v>0</v>
      </c>
      <c r="I28" s="11">
        <v>0</v>
      </c>
      <c r="J28" s="8">
        <f t="shared" si="3"/>
        <v>0</v>
      </c>
      <c r="K28" s="7">
        <v>0</v>
      </c>
      <c r="L28" s="8">
        <f>B28*K28</f>
        <v>0</v>
      </c>
      <c r="M28" s="7">
        <v>0</v>
      </c>
      <c r="N28" s="8">
        <f>B28*M28</f>
        <v>0</v>
      </c>
      <c r="O28" s="7">
        <v>1</v>
      </c>
      <c r="P28" s="8">
        <f>B28*O28</f>
        <v>30</v>
      </c>
      <c r="Q28" s="7">
        <v>0</v>
      </c>
      <c r="R28" s="8">
        <f t="shared" si="4"/>
        <v>0</v>
      </c>
    </row>
    <row r="29" spans="1:18" x14ac:dyDescent="0.25">
      <c r="A29" s="2" t="s">
        <v>140</v>
      </c>
      <c r="B29" s="2">
        <v>100</v>
      </c>
      <c r="C29" s="11">
        <v>0</v>
      </c>
      <c r="D29" s="8">
        <f t="shared" si="0"/>
        <v>0</v>
      </c>
      <c r="E29" s="11">
        <v>1</v>
      </c>
      <c r="F29" s="8">
        <f t="shared" si="1"/>
        <v>100</v>
      </c>
      <c r="G29" s="11">
        <v>1</v>
      </c>
      <c r="H29" s="8">
        <f t="shared" si="2"/>
        <v>100</v>
      </c>
      <c r="I29" s="11">
        <v>1</v>
      </c>
      <c r="J29" s="8">
        <f t="shared" si="3"/>
        <v>100</v>
      </c>
      <c r="K29" s="7">
        <v>0</v>
      </c>
      <c r="L29" s="8">
        <f>B29*K29</f>
        <v>0</v>
      </c>
      <c r="M29" s="7">
        <v>0</v>
      </c>
      <c r="N29" s="8">
        <f>B29*M29</f>
        <v>0</v>
      </c>
      <c r="O29" s="7">
        <v>0</v>
      </c>
      <c r="P29" s="8">
        <f>B29*O29</f>
        <v>0</v>
      </c>
      <c r="Q29" s="7">
        <v>0</v>
      </c>
      <c r="R29" s="8">
        <f t="shared" si="4"/>
        <v>0</v>
      </c>
    </row>
    <row r="30" spans="1:18" x14ac:dyDescent="0.25">
      <c r="A30" s="2" t="s">
        <v>141</v>
      </c>
      <c r="B30" s="2">
        <v>129</v>
      </c>
      <c r="C30" s="11">
        <v>0</v>
      </c>
      <c r="D30" s="8">
        <f t="shared" si="0"/>
        <v>0</v>
      </c>
      <c r="E30" s="11">
        <v>0</v>
      </c>
      <c r="F30" s="8">
        <f t="shared" si="1"/>
        <v>0</v>
      </c>
      <c r="G30" s="11">
        <v>0</v>
      </c>
      <c r="H30" s="8">
        <f t="shared" si="2"/>
        <v>0</v>
      </c>
      <c r="I30" s="11">
        <v>0</v>
      </c>
      <c r="J30" s="8">
        <f t="shared" si="3"/>
        <v>0</v>
      </c>
      <c r="K30" s="7">
        <v>0</v>
      </c>
      <c r="L30" s="8">
        <f>B30*K30</f>
        <v>0</v>
      </c>
      <c r="M30" s="7">
        <v>1</v>
      </c>
      <c r="N30" s="8">
        <f>B30*M30</f>
        <v>129</v>
      </c>
      <c r="O30" s="7">
        <v>0</v>
      </c>
      <c r="P30" s="8">
        <f>B30*O30</f>
        <v>0</v>
      </c>
      <c r="Q30" s="7">
        <v>0</v>
      </c>
      <c r="R30" s="8">
        <f t="shared" si="4"/>
        <v>0</v>
      </c>
    </row>
    <row r="31" spans="1:18" x14ac:dyDescent="0.25">
      <c r="A31" s="2" t="s">
        <v>135</v>
      </c>
      <c r="B31" s="2">
        <v>123</v>
      </c>
      <c r="C31" s="11">
        <v>0</v>
      </c>
      <c r="D31" s="8">
        <f t="shared" si="0"/>
        <v>0</v>
      </c>
      <c r="E31" s="11">
        <v>1</v>
      </c>
      <c r="F31" s="8">
        <f t="shared" si="1"/>
        <v>123</v>
      </c>
      <c r="G31" s="11">
        <v>1</v>
      </c>
      <c r="H31" s="8">
        <f t="shared" si="2"/>
        <v>123</v>
      </c>
      <c r="I31" s="11">
        <v>1</v>
      </c>
      <c r="J31" s="8">
        <f t="shared" si="3"/>
        <v>123</v>
      </c>
      <c r="K31" s="7">
        <v>0</v>
      </c>
      <c r="L31" s="8">
        <f>B31*K31</f>
        <v>0</v>
      </c>
      <c r="M31" s="7">
        <v>0</v>
      </c>
      <c r="N31" s="8">
        <f>B31*M31</f>
        <v>0</v>
      </c>
      <c r="O31" s="7">
        <v>0</v>
      </c>
      <c r="P31" s="8">
        <f>B31*O31</f>
        <v>0</v>
      </c>
      <c r="Q31" s="7">
        <v>0</v>
      </c>
      <c r="R31" s="8">
        <f t="shared" si="4"/>
        <v>0</v>
      </c>
    </row>
    <row r="32" spans="1:18" x14ac:dyDescent="0.25">
      <c r="A32" s="2" t="s">
        <v>123</v>
      </c>
      <c r="B32" s="2">
        <v>110</v>
      </c>
      <c r="C32" s="11">
        <v>0</v>
      </c>
      <c r="D32" s="8">
        <f t="shared" si="0"/>
        <v>0</v>
      </c>
      <c r="E32" s="11">
        <v>0</v>
      </c>
      <c r="F32" s="8">
        <f t="shared" si="1"/>
        <v>0</v>
      </c>
      <c r="G32" s="11">
        <v>0</v>
      </c>
      <c r="H32" s="8">
        <f t="shared" si="2"/>
        <v>0</v>
      </c>
      <c r="I32" s="11">
        <v>0</v>
      </c>
      <c r="J32" s="8">
        <f t="shared" si="3"/>
        <v>0</v>
      </c>
      <c r="K32" s="7">
        <v>0</v>
      </c>
      <c r="L32" s="8">
        <f>B32*K32</f>
        <v>0</v>
      </c>
      <c r="M32" s="7">
        <v>1</v>
      </c>
      <c r="N32" s="8">
        <f>B32*M32</f>
        <v>110</v>
      </c>
      <c r="O32" s="7">
        <v>0</v>
      </c>
      <c r="P32" s="8">
        <f>B32*O32</f>
        <v>0</v>
      </c>
      <c r="Q32" s="7">
        <v>0</v>
      </c>
      <c r="R32" s="8">
        <f t="shared" si="4"/>
        <v>0</v>
      </c>
    </row>
    <row r="33" spans="1:18" x14ac:dyDescent="0.25">
      <c r="A33" s="2" t="s">
        <v>136</v>
      </c>
      <c r="B33" s="2">
        <v>26</v>
      </c>
      <c r="C33" s="11">
        <v>0</v>
      </c>
      <c r="D33" s="8">
        <f t="shared" si="0"/>
        <v>0</v>
      </c>
      <c r="E33" s="11">
        <v>1</v>
      </c>
      <c r="F33" s="8">
        <f t="shared" si="1"/>
        <v>26</v>
      </c>
      <c r="G33" s="11">
        <v>1</v>
      </c>
      <c r="H33" s="8">
        <f t="shared" si="2"/>
        <v>26</v>
      </c>
      <c r="I33" s="11">
        <v>1</v>
      </c>
      <c r="J33" s="8">
        <f t="shared" si="3"/>
        <v>26</v>
      </c>
      <c r="K33" s="7">
        <v>0</v>
      </c>
      <c r="L33" s="8">
        <f>B33*K33</f>
        <v>0</v>
      </c>
      <c r="M33" s="7">
        <v>0</v>
      </c>
      <c r="N33" s="8">
        <f>B33*M33</f>
        <v>0</v>
      </c>
      <c r="O33" s="7">
        <v>0</v>
      </c>
      <c r="P33" s="8">
        <f>B33*O33</f>
        <v>0</v>
      </c>
      <c r="Q33" s="7">
        <v>0</v>
      </c>
      <c r="R33" s="8">
        <f t="shared" si="4"/>
        <v>0</v>
      </c>
    </row>
    <row r="34" spans="1:18" x14ac:dyDescent="0.25">
      <c r="A34" s="2" t="s">
        <v>12</v>
      </c>
      <c r="B34" s="2">
        <v>15</v>
      </c>
      <c r="C34" s="11">
        <v>0</v>
      </c>
      <c r="D34" s="8">
        <f t="shared" si="0"/>
        <v>0</v>
      </c>
      <c r="E34" s="11">
        <v>3</v>
      </c>
      <c r="F34" s="8">
        <f t="shared" si="1"/>
        <v>45</v>
      </c>
      <c r="G34" s="11">
        <v>3</v>
      </c>
      <c r="H34" s="8">
        <f t="shared" si="2"/>
        <v>45</v>
      </c>
      <c r="I34" s="11">
        <v>3</v>
      </c>
      <c r="J34" s="8">
        <f t="shared" si="3"/>
        <v>45</v>
      </c>
      <c r="K34" s="7">
        <v>0</v>
      </c>
      <c r="L34" s="8">
        <f>B34*K34</f>
        <v>0</v>
      </c>
      <c r="M34" s="7">
        <v>1</v>
      </c>
      <c r="N34" s="8">
        <f>B34*M34</f>
        <v>15</v>
      </c>
      <c r="O34" s="7">
        <v>1</v>
      </c>
      <c r="P34" s="8">
        <f>B34*O34</f>
        <v>15</v>
      </c>
      <c r="Q34" s="7">
        <v>1</v>
      </c>
      <c r="R34" s="8">
        <f t="shared" si="4"/>
        <v>15</v>
      </c>
    </row>
    <row r="35" spans="1:18" x14ac:dyDescent="0.25">
      <c r="A35" s="2" t="s">
        <v>13</v>
      </c>
      <c r="B35" s="2">
        <v>5</v>
      </c>
      <c r="C35" s="11">
        <v>0</v>
      </c>
      <c r="D35" s="8">
        <f t="shared" si="0"/>
        <v>0</v>
      </c>
      <c r="E35" s="11">
        <v>2</v>
      </c>
      <c r="F35" s="8">
        <f t="shared" si="1"/>
        <v>10</v>
      </c>
      <c r="G35" s="11">
        <v>2</v>
      </c>
      <c r="H35" s="8">
        <f t="shared" ref="H35:H38" si="11">B35*G35</f>
        <v>10</v>
      </c>
      <c r="I35" s="11">
        <v>2</v>
      </c>
      <c r="J35" s="8">
        <f t="shared" si="3"/>
        <v>10</v>
      </c>
      <c r="K35" s="7">
        <v>0</v>
      </c>
      <c r="L35" s="8">
        <f>B35*K35</f>
        <v>0</v>
      </c>
      <c r="M35" s="7">
        <v>1</v>
      </c>
      <c r="N35" s="8">
        <f>B35*M35</f>
        <v>5</v>
      </c>
      <c r="O35" s="7">
        <v>1</v>
      </c>
      <c r="P35" s="8">
        <f>B35*O35</f>
        <v>5</v>
      </c>
      <c r="Q35" s="7">
        <v>1</v>
      </c>
      <c r="R35" s="8">
        <f t="shared" si="4"/>
        <v>5</v>
      </c>
    </row>
    <row r="36" spans="1:18" x14ac:dyDescent="0.25">
      <c r="A36" s="2" t="s">
        <v>15</v>
      </c>
      <c r="B36" s="2">
        <v>35</v>
      </c>
      <c r="C36" s="11">
        <v>0</v>
      </c>
      <c r="D36" s="8">
        <f t="shared" ref="D36:D38" si="12">B36*C36</f>
        <v>0</v>
      </c>
      <c r="E36" s="11">
        <v>0</v>
      </c>
      <c r="F36" s="8">
        <f t="shared" si="1"/>
        <v>0</v>
      </c>
      <c r="G36" s="11">
        <v>0</v>
      </c>
      <c r="H36" s="8">
        <f t="shared" si="11"/>
        <v>0</v>
      </c>
      <c r="I36" s="11">
        <v>0</v>
      </c>
      <c r="J36" s="8">
        <f t="shared" si="3"/>
        <v>0</v>
      </c>
      <c r="K36" s="7">
        <v>0</v>
      </c>
      <c r="L36" s="8">
        <f>B36*K36</f>
        <v>0</v>
      </c>
      <c r="M36" s="7">
        <v>0</v>
      </c>
      <c r="N36" s="8">
        <f>B36*M36</f>
        <v>0</v>
      </c>
      <c r="O36" s="7">
        <v>0</v>
      </c>
      <c r="P36" s="8">
        <f>B36*O36</f>
        <v>0</v>
      </c>
      <c r="Q36" s="7">
        <v>0</v>
      </c>
      <c r="R36" s="8">
        <f t="shared" si="4"/>
        <v>0</v>
      </c>
    </row>
    <row r="37" spans="1:18" x14ac:dyDescent="0.25">
      <c r="A37" s="2" t="s">
        <v>14</v>
      </c>
      <c r="B37" s="2">
        <v>9</v>
      </c>
      <c r="C37" s="11">
        <v>0</v>
      </c>
      <c r="D37" s="8">
        <f t="shared" si="12"/>
        <v>0</v>
      </c>
      <c r="E37" s="11">
        <v>0</v>
      </c>
      <c r="F37" s="8">
        <f t="shared" si="1"/>
        <v>0</v>
      </c>
      <c r="G37" s="11">
        <v>0</v>
      </c>
      <c r="H37" s="8">
        <f t="shared" si="11"/>
        <v>0</v>
      </c>
      <c r="I37" s="11">
        <v>0</v>
      </c>
      <c r="J37" s="8">
        <f t="shared" ref="J37:J38" si="13">B37*I37</f>
        <v>0</v>
      </c>
      <c r="K37" s="7">
        <v>0</v>
      </c>
      <c r="L37" s="8">
        <f>B37*K37</f>
        <v>0</v>
      </c>
      <c r="M37" s="7">
        <v>0</v>
      </c>
      <c r="N37" s="8">
        <f>B37*M37</f>
        <v>0</v>
      </c>
      <c r="O37" s="7">
        <v>0</v>
      </c>
      <c r="P37" s="8">
        <f>B37*O37</f>
        <v>0</v>
      </c>
      <c r="Q37" s="7">
        <v>0</v>
      </c>
      <c r="R37" s="8">
        <f t="shared" si="4"/>
        <v>0</v>
      </c>
    </row>
    <row r="38" spans="1:18" ht="15.75" thickBot="1" x14ac:dyDescent="0.3">
      <c r="A38" s="2" t="s">
        <v>8</v>
      </c>
      <c r="B38" s="2">
        <v>25</v>
      </c>
      <c r="C38" s="12">
        <v>0</v>
      </c>
      <c r="D38" s="13">
        <f t="shared" si="12"/>
        <v>0</v>
      </c>
      <c r="E38" s="12">
        <v>1</v>
      </c>
      <c r="F38" s="13">
        <f t="shared" si="1"/>
        <v>25</v>
      </c>
      <c r="G38" s="12">
        <v>1</v>
      </c>
      <c r="H38" s="13">
        <f t="shared" si="11"/>
        <v>25</v>
      </c>
      <c r="I38" s="12">
        <v>1</v>
      </c>
      <c r="J38" s="13">
        <f t="shared" si="13"/>
        <v>25</v>
      </c>
      <c r="K38" s="7">
        <v>0</v>
      </c>
      <c r="L38" s="8">
        <f>B38*K38</f>
        <v>0</v>
      </c>
      <c r="M38" s="7">
        <v>0</v>
      </c>
      <c r="N38" s="8">
        <f>B38*M38</f>
        <v>0</v>
      </c>
      <c r="O38" s="7">
        <v>0</v>
      </c>
      <c r="P38" s="8">
        <f>B38*O38</f>
        <v>0</v>
      </c>
      <c r="Q38" s="7">
        <v>0</v>
      </c>
      <c r="R38" s="8">
        <f t="shared" si="4"/>
        <v>0</v>
      </c>
    </row>
    <row r="39" spans="1:18" ht="19.5" thickBot="1" x14ac:dyDescent="0.35">
      <c r="A39" s="4"/>
      <c r="B39" s="5"/>
      <c r="C39" s="6">
        <f>((C7*1500)+(C8*2625))/1000</f>
        <v>1.5</v>
      </c>
      <c r="D39" s="9">
        <f>SUM(D2:D38)</f>
        <v>188</v>
      </c>
      <c r="E39" s="6">
        <f>((E7*1500)+(E8*2625))/1000</f>
        <v>4.125</v>
      </c>
      <c r="F39" s="9">
        <f>SUM(F2:F38)</f>
        <v>899</v>
      </c>
      <c r="G39" s="6">
        <f>((G7*1500)+(G8*2625))/1000</f>
        <v>6.75</v>
      </c>
      <c r="H39" s="9">
        <f>SUM(H2:H38)</f>
        <v>1005</v>
      </c>
      <c r="I39" s="6">
        <f>((I7*1500)+(I8*2625))/1000</f>
        <v>9.375</v>
      </c>
      <c r="J39" s="9">
        <f>SUM(J2:J38)</f>
        <v>1111</v>
      </c>
      <c r="K39" s="6">
        <f>((K7*1500)+(K8*2625))/1000</f>
        <v>12</v>
      </c>
      <c r="L39" s="10">
        <f>SUM(L2:L38)</f>
        <v>612</v>
      </c>
      <c r="M39" s="6">
        <f>((M7*1500)+(M8*2625))/1000</f>
        <v>12</v>
      </c>
      <c r="N39" s="10">
        <f>SUM(N2:N38)</f>
        <v>1019</v>
      </c>
      <c r="O39" s="6">
        <f>((O7*1500)+(O8*2625))/1000</f>
        <v>12</v>
      </c>
      <c r="P39" s="10">
        <f>SUM(P2:P38)</f>
        <v>825</v>
      </c>
      <c r="Q39" s="6">
        <f>((Q7*1500)+(Q8*2625))/1000</f>
        <v>12</v>
      </c>
      <c r="R39" s="10">
        <f>SUM(R2:R38)</f>
        <v>899</v>
      </c>
    </row>
    <row r="40" spans="1:18" x14ac:dyDescent="0.25">
      <c r="R40" s="14"/>
    </row>
  </sheetData>
  <conditionalFormatting sqref="B2:B3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B38 B2:B32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38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3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3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3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8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3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3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38 R4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8 D2:D38 F2:F38 H2:H38 J2:J38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60318-0FDA-49C9-A3C2-8F221AE6B063}">
  <dimension ref="A1:E36"/>
  <sheetViews>
    <sheetView workbookViewId="0">
      <selection activeCell="H9" sqref="H9"/>
    </sheetView>
  </sheetViews>
  <sheetFormatPr defaultRowHeight="15" x14ac:dyDescent="0.25"/>
  <cols>
    <col min="1" max="1" width="54.7109375" customWidth="1"/>
    <col min="2" max="2" width="11.5703125" customWidth="1"/>
    <col min="3" max="3" width="37.42578125" customWidth="1"/>
    <col min="4" max="4" width="111.5703125" bestFit="1" customWidth="1"/>
    <col min="5" max="5" width="61.85546875" bestFit="1" customWidth="1"/>
  </cols>
  <sheetData>
    <row r="1" spans="1:5" x14ac:dyDescent="0.25">
      <c r="A1" s="1" t="s">
        <v>0</v>
      </c>
      <c r="B1" s="1" t="s">
        <v>16</v>
      </c>
      <c r="C1" s="1" t="s">
        <v>18</v>
      </c>
      <c r="D1" s="1" t="s">
        <v>17</v>
      </c>
      <c r="E1" s="1" t="s">
        <v>77</v>
      </c>
    </row>
    <row r="2" spans="1:5" x14ac:dyDescent="0.25">
      <c r="A2" t="s">
        <v>19</v>
      </c>
      <c r="B2" t="s">
        <v>20</v>
      </c>
      <c r="C2" t="s">
        <v>21</v>
      </c>
      <c r="D2" t="s">
        <v>22</v>
      </c>
    </row>
    <row r="3" spans="1:5" x14ac:dyDescent="0.25">
      <c r="A3" t="s">
        <v>23</v>
      </c>
      <c r="B3" t="s">
        <v>20</v>
      </c>
      <c r="C3" t="s">
        <v>21</v>
      </c>
      <c r="D3" t="s">
        <v>24</v>
      </c>
    </row>
    <row r="4" spans="1:5" x14ac:dyDescent="0.25">
      <c r="A4" t="s">
        <v>25</v>
      </c>
      <c r="B4" t="s">
        <v>29</v>
      </c>
      <c r="C4" t="s">
        <v>21</v>
      </c>
      <c r="D4" t="s">
        <v>30</v>
      </c>
      <c r="E4" t="s">
        <v>79</v>
      </c>
    </row>
    <row r="5" spans="1:5" x14ac:dyDescent="0.25">
      <c r="A5" t="s">
        <v>26</v>
      </c>
      <c r="B5" t="s">
        <v>20</v>
      </c>
      <c r="C5" t="s">
        <v>21</v>
      </c>
      <c r="D5" t="s">
        <v>32</v>
      </c>
    </row>
    <row r="6" spans="1:5" x14ac:dyDescent="0.25">
      <c r="A6" t="s">
        <v>27</v>
      </c>
      <c r="B6" t="s">
        <v>20</v>
      </c>
      <c r="C6" t="s">
        <v>21</v>
      </c>
      <c r="D6" t="s">
        <v>33</v>
      </c>
    </row>
    <row r="7" spans="1:5" x14ac:dyDescent="0.25">
      <c r="A7" t="s">
        <v>28</v>
      </c>
      <c r="B7" t="s">
        <v>20</v>
      </c>
      <c r="C7" t="s">
        <v>21</v>
      </c>
      <c r="D7" t="s">
        <v>34</v>
      </c>
    </row>
    <row r="8" spans="1:5" x14ac:dyDescent="0.25">
      <c r="A8" t="s">
        <v>31</v>
      </c>
      <c r="B8" t="s">
        <v>20</v>
      </c>
      <c r="C8" t="s">
        <v>21</v>
      </c>
      <c r="D8" t="s">
        <v>35</v>
      </c>
    </row>
    <row r="9" spans="1:5" x14ac:dyDescent="0.25">
      <c r="A9" t="s">
        <v>38</v>
      </c>
      <c r="B9" t="s">
        <v>37</v>
      </c>
      <c r="C9" t="s">
        <v>36</v>
      </c>
      <c r="D9" t="s">
        <v>41</v>
      </c>
    </row>
    <row r="10" spans="1:5" x14ac:dyDescent="0.25">
      <c r="A10" t="s">
        <v>39</v>
      </c>
      <c r="B10" t="s">
        <v>37</v>
      </c>
      <c r="C10" t="s">
        <v>36</v>
      </c>
      <c r="D10" t="s">
        <v>42</v>
      </c>
    </row>
    <row r="11" spans="1:5" x14ac:dyDescent="0.25">
      <c r="A11" t="s">
        <v>40</v>
      </c>
      <c r="B11" t="s">
        <v>37</v>
      </c>
      <c r="C11" t="s">
        <v>36</v>
      </c>
      <c r="D11" t="s">
        <v>43</v>
      </c>
    </row>
    <row r="12" spans="1:5" x14ac:dyDescent="0.25">
      <c r="A12" t="s">
        <v>46</v>
      </c>
      <c r="B12" t="s">
        <v>45</v>
      </c>
      <c r="C12" t="s">
        <v>44</v>
      </c>
      <c r="D12" t="s">
        <v>58</v>
      </c>
    </row>
    <row r="13" spans="1:5" x14ac:dyDescent="0.25">
      <c r="A13" t="s">
        <v>1</v>
      </c>
      <c r="B13" t="s">
        <v>45</v>
      </c>
      <c r="C13" t="s">
        <v>44</v>
      </c>
      <c r="D13" t="s">
        <v>59</v>
      </c>
    </row>
    <row r="14" spans="1:5" x14ac:dyDescent="0.25">
      <c r="A14" t="s">
        <v>60</v>
      </c>
      <c r="B14" t="s">
        <v>45</v>
      </c>
      <c r="C14" t="s">
        <v>44</v>
      </c>
      <c r="D14" t="s">
        <v>61</v>
      </c>
    </row>
    <row r="15" spans="1:5" x14ac:dyDescent="0.25">
      <c r="A15" t="s">
        <v>68</v>
      </c>
      <c r="B15" t="s">
        <v>66</v>
      </c>
      <c r="C15" t="s">
        <v>67</v>
      </c>
      <c r="D15" t="s">
        <v>70</v>
      </c>
    </row>
    <row r="16" spans="1:5" x14ac:dyDescent="0.25">
      <c r="A16" t="s">
        <v>69</v>
      </c>
      <c r="B16" t="s">
        <v>66</v>
      </c>
      <c r="C16" t="s">
        <v>67</v>
      </c>
      <c r="D16" t="s">
        <v>71</v>
      </c>
    </row>
    <row r="17" spans="1:5" x14ac:dyDescent="0.25">
      <c r="A17" t="s">
        <v>74</v>
      </c>
      <c r="B17" t="s">
        <v>72</v>
      </c>
      <c r="C17" t="s">
        <v>73</v>
      </c>
      <c r="D17" t="s">
        <v>93</v>
      </c>
      <c r="E17" t="s">
        <v>92</v>
      </c>
    </row>
    <row r="18" spans="1:5" x14ac:dyDescent="0.25">
      <c r="A18" t="s">
        <v>88</v>
      </c>
      <c r="B18" t="s">
        <v>72</v>
      </c>
      <c r="C18" t="s">
        <v>73</v>
      </c>
      <c r="D18" t="s">
        <v>94</v>
      </c>
      <c r="E18" t="s">
        <v>92</v>
      </c>
    </row>
    <row r="19" spans="1:5" x14ac:dyDescent="0.25">
      <c r="A19" t="s">
        <v>89</v>
      </c>
      <c r="B19" t="s">
        <v>72</v>
      </c>
      <c r="C19" t="s">
        <v>73</v>
      </c>
      <c r="D19" t="s">
        <v>89</v>
      </c>
    </row>
    <row r="20" spans="1:5" x14ac:dyDescent="0.25">
      <c r="A20" t="s">
        <v>95</v>
      </c>
      <c r="B20" t="s">
        <v>72</v>
      </c>
      <c r="C20" t="s">
        <v>73</v>
      </c>
      <c r="D20" t="s">
        <v>96</v>
      </c>
      <c r="E20" t="s">
        <v>92</v>
      </c>
    </row>
    <row r="21" spans="1:5" x14ac:dyDescent="0.25">
      <c r="A21" t="s">
        <v>97</v>
      </c>
      <c r="B21" t="s">
        <v>75</v>
      </c>
      <c r="C21" t="s">
        <v>76</v>
      </c>
      <c r="D21" t="s">
        <v>98</v>
      </c>
      <c r="E21" t="s">
        <v>92</v>
      </c>
    </row>
    <row r="22" spans="1:5" x14ac:dyDescent="0.25">
      <c r="A22" t="s">
        <v>90</v>
      </c>
      <c r="B22" t="s">
        <v>75</v>
      </c>
      <c r="C22" t="s">
        <v>76</v>
      </c>
      <c r="D22" t="s">
        <v>99</v>
      </c>
      <c r="E22" t="s">
        <v>81</v>
      </c>
    </row>
    <row r="23" spans="1:5" x14ac:dyDescent="0.25">
      <c r="A23" t="s">
        <v>91</v>
      </c>
      <c r="B23" t="s">
        <v>75</v>
      </c>
      <c r="C23" t="s">
        <v>76</v>
      </c>
      <c r="D23" t="s">
        <v>100</v>
      </c>
      <c r="E23" t="s">
        <v>81</v>
      </c>
    </row>
    <row r="24" spans="1:5" x14ac:dyDescent="0.25">
      <c r="A24" t="s">
        <v>118</v>
      </c>
      <c r="B24" t="s">
        <v>75</v>
      </c>
      <c r="C24" t="s">
        <v>76</v>
      </c>
      <c r="D24" t="s">
        <v>101</v>
      </c>
      <c r="E24" t="s">
        <v>81</v>
      </c>
    </row>
    <row r="25" spans="1:5" x14ac:dyDescent="0.25">
      <c r="A25" t="s">
        <v>10</v>
      </c>
      <c r="B25" t="s">
        <v>83</v>
      </c>
      <c r="C25" t="s">
        <v>82</v>
      </c>
      <c r="D25" t="s">
        <v>104</v>
      </c>
    </row>
    <row r="26" spans="1:5" x14ac:dyDescent="0.25">
      <c r="A26" t="s">
        <v>11</v>
      </c>
      <c r="B26" t="s">
        <v>83</v>
      </c>
      <c r="C26" t="s">
        <v>82</v>
      </c>
      <c r="D26" t="s">
        <v>105</v>
      </c>
    </row>
    <row r="27" spans="1:5" x14ac:dyDescent="0.25">
      <c r="A27" t="s">
        <v>110</v>
      </c>
      <c r="B27" t="s">
        <v>83</v>
      </c>
      <c r="C27" t="s">
        <v>82</v>
      </c>
      <c r="D27" t="s">
        <v>106</v>
      </c>
    </row>
    <row r="28" spans="1:5" x14ac:dyDescent="0.25">
      <c r="A28" t="s">
        <v>4</v>
      </c>
      <c r="B28" t="s">
        <v>83</v>
      </c>
      <c r="C28" t="s">
        <v>82</v>
      </c>
      <c r="D28" t="s">
        <v>107</v>
      </c>
    </row>
    <row r="29" spans="1:5" x14ac:dyDescent="0.25">
      <c r="A29" t="s">
        <v>114</v>
      </c>
      <c r="B29" t="s">
        <v>83</v>
      </c>
      <c r="C29" t="s">
        <v>82</v>
      </c>
      <c r="D29" t="s">
        <v>115</v>
      </c>
    </row>
    <row r="30" spans="1:5" x14ac:dyDescent="0.25">
      <c r="A30" t="s">
        <v>103</v>
      </c>
      <c r="B30" t="s">
        <v>84</v>
      </c>
      <c r="C30" t="s">
        <v>85</v>
      </c>
      <c r="D30" t="s">
        <v>108</v>
      </c>
      <c r="E30" t="s">
        <v>78</v>
      </c>
    </row>
    <row r="31" spans="1:5" x14ac:dyDescent="0.25">
      <c r="A31" t="s">
        <v>112</v>
      </c>
      <c r="B31" t="s">
        <v>84</v>
      </c>
      <c r="C31" t="s">
        <v>85</v>
      </c>
      <c r="D31" t="s">
        <v>109</v>
      </c>
      <c r="E31" t="s">
        <v>78</v>
      </c>
    </row>
    <row r="32" spans="1:5" x14ac:dyDescent="0.25">
      <c r="A32" t="s">
        <v>7</v>
      </c>
      <c r="B32" t="s">
        <v>84</v>
      </c>
      <c r="C32" t="s">
        <v>85</v>
      </c>
      <c r="D32" t="s">
        <v>117</v>
      </c>
      <c r="E32" t="s">
        <v>78</v>
      </c>
    </row>
    <row r="33" spans="1:5" x14ac:dyDescent="0.25">
      <c r="A33" t="s">
        <v>102</v>
      </c>
      <c r="B33" t="s">
        <v>87</v>
      </c>
      <c r="C33" t="s">
        <v>86</v>
      </c>
      <c r="D33" t="s">
        <v>111</v>
      </c>
      <c r="E33" t="s">
        <v>80</v>
      </c>
    </row>
    <row r="34" spans="1:5" x14ac:dyDescent="0.25">
      <c r="A34" t="s">
        <v>113</v>
      </c>
      <c r="B34" t="s">
        <v>87</v>
      </c>
      <c r="C34" t="s">
        <v>86</v>
      </c>
      <c r="D34" t="s">
        <v>116</v>
      </c>
      <c r="E34" t="s">
        <v>80</v>
      </c>
    </row>
    <row r="35" spans="1:5" x14ac:dyDescent="0.25">
      <c r="A35" t="s">
        <v>119</v>
      </c>
      <c r="B35" t="s">
        <v>87</v>
      </c>
      <c r="C35" t="s">
        <v>86</v>
      </c>
      <c r="D35" t="s">
        <v>121</v>
      </c>
      <c r="E35" t="s">
        <v>80</v>
      </c>
    </row>
    <row r="36" spans="1:5" x14ac:dyDescent="0.25">
      <c r="A36" t="s">
        <v>120</v>
      </c>
      <c r="B36" t="s">
        <v>87</v>
      </c>
      <c r="C36" t="s">
        <v>86</v>
      </c>
      <c r="D36" t="s">
        <v>122</v>
      </c>
      <c r="E36" t="s">
        <v>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995A4-E149-4E2C-B4B4-9D4F63316BA3}">
  <dimension ref="A1:D8"/>
  <sheetViews>
    <sheetView workbookViewId="0">
      <selection sqref="A1:D20"/>
    </sheetView>
  </sheetViews>
  <sheetFormatPr defaultRowHeight="15" x14ac:dyDescent="0.25"/>
  <cols>
    <col min="1" max="1" width="31.42578125" bestFit="1" customWidth="1"/>
    <col min="2" max="2" width="10.42578125" bestFit="1" customWidth="1"/>
    <col min="3" max="3" width="32.5703125" bestFit="1" customWidth="1"/>
    <col min="4" max="4" width="64.42578125" bestFit="1" customWidth="1"/>
  </cols>
  <sheetData>
    <row r="1" spans="1:4" x14ac:dyDescent="0.25">
      <c r="A1" t="s">
        <v>0</v>
      </c>
      <c r="B1" t="s">
        <v>50</v>
      </c>
      <c r="C1" t="s">
        <v>18</v>
      </c>
      <c r="D1" t="s">
        <v>17</v>
      </c>
    </row>
    <row r="2" spans="1:4" x14ac:dyDescent="0.25">
      <c r="A2" t="s">
        <v>47</v>
      </c>
      <c r="B2">
        <v>1</v>
      </c>
      <c r="C2" t="s">
        <v>36</v>
      </c>
      <c r="D2" t="s">
        <v>48</v>
      </c>
    </row>
    <row r="3" spans="1:4" x14ac:dyDescent="0.25">
      <c r="A3" t="s">
        <v>56</v>
      </c>
      <c r="B3">
        <v>1</v>
      </c>
      <c r="C3" t="s">
        <v>44</v>
      </c>
      <c r="D3" t="s">
        <v>49</v>
      </c>
    </row>
    <row r="4" spans="1:4" x14ac:dyDescent="0.25">
      <c r="A4" t="s">
        <v>55</v>
      </c>
      <c r="B4">
        <v>1</v>
      </c>
      <c r="C4" t="s">
        <v>44</v>
      </c>
      <c r="D4" t="s">
        <v>51</v>
      </c>
    </row>
    <row r="5" spans="1:4" x14ac:dyDescent="0.25">
      <c r="A5" t="s">
        <v>57</v>
      </c>
      <c r="B5">
        <v>1</v>
      </c>
      <c r="C5" t="s">
        <v>44</v>
      </c>
      <c r="D5" t="s">
        <v>52</v>
      </c>
    </row>
    <row r="6" spans="1:4" x14ac:dyDescent="0.25">
      <c r="A6" t="s">
        <v>54</v>
      </c>
      <c r="B6">
        <v>3</v>
      </c>
      <c r="C6" t="s">
        <v>44</v>
      </c>
      <c r="D6" t="s">
        <v>53</v>
      </c>
    </row>
    <row r="7" spans="1:4" x14ac:dyDescent="0.25">
      <c r="A7" t="s">
        <v>64</v>
      </c>
      <c r="B7">
        <v>1</v>
      </c>
      <c r="C7" t="s">
        <v>44</v>
      </c>
      <c r="D7" t="s">
        <v>62</v>
      </c>
    </row>
    <row r="8" spans="1:4" x14ac:dyDescent="0.25">
      <c r="A8" t="s">
        <v>65</v>
      </c>
      <c r="B8">
        <v>1</v>
      </c>
      <c r="C8" t="s">
        <v>44</v>
      </c>
      <c r="D8" t="s">
        <v>63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0e3427a-3376-4ee4-a029-e7d53d4dcc48}" enabled="1" method="Standard" siteId="{60d8432b-0fad-4511-ba9d-53cbca74bfe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Weight</vt:lpstr>
      <vt:lpstr>3D-Parts</vt:lpstr>
      <vt:lpstr>Misc-Parts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Bas Zelissen</cp:lastModifiedBy>
  <dcterms:created xsi:type="dcterms:W3CDTF">2015-06-05T18:17:20Z</dcterms:created>
  <dcterms:modified xsi:type="dcterms:W3CDTF">2025-10-01T00:27:01Z</dcterms:modified>
</cp:coreProperties>
</file>