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mainport365-my.sharepoint.com/personal/bzelissen_mainport_nl/Documents/Documenten/Arduino/sketches/ESP-Controlled-Rocket/docs/"/>
    </mc:Choice>
  </mc:AlternateContent>
  <xr:revisionPtr revIDLastSave="704" documentId="11_F25DC773A252ABDACC10484BC95F46505ADE58EF" xr6:coauthVersionLast="47" xr6:coauthVersionMax="47" xr10:uidLastSave="{E6859EA7-D7AB-4A10-B36B-46D5DAD37B45}"/>
  <bookViews>
    <workbookView xWindow="11940" yWindow="-16320" windowWidth="29040" windowHeight="15840" activeTab="1" xr2:uid="{00000000-000D-0000-FFFF-FFFF00000000}"/>
  </bookViews>
  <sheets>
    <sheet name="Weight" sheetId="1" r:id="rId1"/>
    <sheet name="3D-Parts" sheetId="2" r:id="rId2"/>
    <sheet name="Misc-Parts" sheetId="3" r:id="rId3"/>
  </sheets>
  <definedNames>
    <definedName name="_xlnm._FilterDatabase" localSheetId="1" hidden="1">'3D-Parts'!$A$1:$E$37</definedName>
    <definedName name="_xlnm._FilterDatabase" localSheetId="2" hidden="1">'Misc-Parts'!$A$1:$D$8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F8" i="1"/>
  <c r="H8" i="1"/>
  <c r="J8" i="1"/>
  <c r="L8" i="1"/>
  <c r="L18" i="1"/>
  <c r="J18" i="1"/>
  <c r="H18" i="1"/>
  <c r="F18" i="1"/>
  <c r="D18" i="1"/>
  <c r="D7" i="1"/>
  <c r="F7" i="1"/>
  <c r="H7" i="1"/>
  <c r="J7" i="1"/>
  <c r="L7" i="1"/>
  <c r="L21" i="1"/>
  <c r="J21" i="1"/>
  <c r="H21" i="1"/>
  <c r="F21" i="1"/>
  <c r="D21" i="1"/>
  <c r="L9" i="1" l="1"/>
  <c r="L10" i="1"/>
  <c r="L11" i="1"/>
  <c r="L12" i="1"/>
  <c r="L13" i="1"/>
  <c r="L14" i="1"/>
  <c r="L15" i="1"/>
  <c r="L16" i="1"/>
  <c r="L17" i="1"/>
  <c r="L19" i="1"/>
  <c r="L20" i="1"/>
  <c r="L22" i="1"/>
  <c r="L23" i="1"/>
  <c r="L24" i="1"/>
  <c r="L25" i="1"/>
  <c r="L26" i="1"/>
  <c r="L2" i="1"/>
  <c r="L3" i="1"/>
  <c r="L4" i="1"/>
  <c r="L5" i="1"/>
  <c r="L6" i="1"/>
  <c r="J3" i="1"/>
  <c r="J4" i="1"/>
  <c r="J5" i="1"/>
  <c r="J6" i="1"/>
  <c r="J9" i="1"/>
  <c r="J10" i="1"/>
  <c r="J11" i="1"/>
  <c r="J12" i="1"/>
  <c r="J13" i="1"/>
  <c r="J14" i="1"/>
  <c r="J15" i="1"/>
  <c r="J16" i="1"/>
  <c r="J17" i="1"/>
  <c r="J19" i="1"/>
  <c r="J20" i="1"/>
  <c r="J22" i="1"/>
  <c r="J23" i="1"/>
  <c r="J24" i="1"/>
  <c r="J25" i="1"/>
  <c r="J26" i="1"/>
  <c r="H3" i="1"/>
  <c r="H4" i="1"/>
  <c r="H5" i="1"/>
  <c r="H6" i="1"/>
  <c r="H9" i="1"/>
  <c r="H10" i="1"/>
  <c r="H11" i="1"/>
  <c r="H12" i="1"/>
  <c r="H13" i="1"/>
  <c r="H14" i="1"/>
  <c r="H15" i="1"/>
  <c r="H16" i="1"/>
  <c r="H17" i="1"/>
  <c r="H19" i="1"/>
  <c r="H20" i="1"/>
  <c r="H22" i="1"/>
  <c r="H23" i="1"/>
  <c r="H24" i="1"/>
  <c r="H25" i="1"/>
  <c r="H26" i="1"/>
  <c r="D10" i="1"/>
  <c r="D11" i="1"/>
  <c r="D12" i="1"/>
  <c r="D13" i="1"/>
  <c r="D14" i="1"/>
  <c r="D15" i="1"/>
  <c r="D16" i="1"/>
  <c r="D9" i="1"/>
  <c r="F15" i="1"/>
  <c r="F9" i="1"/>
  <c r="F10" i="1"/>
  <c r="F11" i="1"/>
  <c r="F12" i="1"/>
  <c r="F13" i="1"/>
  <c r="F14" i="1"/>
  <c r="F16" i="1"/>
  <c r="F17" i="1"/>
  <c r="F19" i="1"/>
  <c r="F20" i="1"/>
  <c r="F22" i="1"/>
  <c r="F23" i="1"/>
  <c r="F24" i="1"/>
  <c r="F25" i="1"/>
  <c r="F26" i="1"/>
  <c r="D17" i="1"/>
  <c r="J2" i="1"/>
  <c r="H2" i="1"/>
  <c r="F3" i="1"/>
  <c r="F4" i="1"/>
  <c r="F5" i="1"/>
  <c r="F6" i="1"/>
  <c r="F2" i="1"/>
  <c r="D3" i="1"/>
  <c r="D4" i="1"/>
  <c r="D5" i="1"/>
  <c r="D6" i="1"/>
  <c r="D19" i="1"/>
  <c r="D20" i="1"/>
  <c r="D22" i="1"/>
  <c r="D23" i="1"/>
  <c r="D24" i="1"/>
  <c r="D25" i="1"/>
  <c r="D26" i="1"/>
  <c r="D2" i="1"/>
  <c r="L27" i="1" l="1"/>
  <c r="D27" i="1"/>
  <c r="H27" i="1"/>
  <c r="F27" i="1"/>
  <c r="J27" i="1" l="1"/>
</calcChain>
</file>

<file path=xl/sharedStrings.xml><?xml version="1.0" encoding="utf-8"?>
<sst xmlns="http://schemas.openxmlformats.org/spreadsheetml/2006/main" count="222" uniqueCount="139">
  <si>
    <t>Part</t>
  </si>
  <si>
    <t># Parts 1.5L Rocket</t>
  </si>
  <si>
    <t>Total weight 1.5L Rocket</t>
  </si>
  <si>
    <t># Parts 4.5L Rocket</t>
  </si>
  <si>
    <t>Total weight 4.5L Rocket</t>
  </si>
  <si>
    <t># Parts 7.5L Rocket</t>
  </si>
  <si>
    <t>Total weight 7.5L Rocket</t>
  </si>
  <si>
    <t># Parts 10.5L Rocket</t>
  </si>
  <si>
    <t>Total weight 10.5L Rocket</t>
  </si>
  <si>
    <t>Nozzle</t>
  </si>
  <si>
    <t>Nozzle Connector</t>
  </si>
  <si>
    <t>Bottle Connector</t>
  </si>
  <si>
    <t>Bottle</t>
  </si>
  <si>
    <t>Spliced Bottles</t>
  </si>
  <si>
    <t>Payload Body</t>
  </si>
  <si>
    <t>Flight Computer</t>
  </si>
  <si>
    <t>Battery</t>
  </si>
  <si>
    <t>Parachute Small</t>
  </si>
  <si>
    <t>Parachute Medium</t>
  </si>
  <si>
    <t>Parachute Large</t>
  </si>
  <si>
    <t>Nose Cone Adapter Ring</t>
  </si>
  <si>
    <t>Nose Cone Ejection Hatch</t>
  </si>
  <si>
    <t>Misc (Cords)</t>
  </si>
  <si>
    <t>Weight (grams)</t>
  </si>
  <si>
    <t>Flight Computer Mount</t>
  </si>
  <si>
    <t>Battery Mount</t>
  </si>
  <si>
    <t># Parts 13.5L Rocket</t>
  </si>
  <si>
    <t>Total weight 13.5L Rocket</t>
  </si>
  <si>
    <t>Fins Type 1</t>
  </si>
  <si>
    <t>Fins Ring Type 1</t>
  </si>
  <si>
    <t>Fins Ring Type 2</t>
  </si>
  <si>
    <t>Fins Type 2</t>
  </si>
  <si>
    <t>Color</t>
  </si>
  <si>
    <t>Description</t>
  </si>
  <si>
    <t>Use</t>
  </si>
  <si>
    <t>Fins Ring Type 1 Heavy</t>
  </si>
  <si>
    <t>Light Purple</t>
  </si>
  <si>
    <t>Fins</t>
  </si>
  <si>
    <t>Customized Fin Ring</t>
  </si>
  <si>
    <t>Fins Ring Type 1 Light</t>
  </si>
  <si>
    <t>Customized Fin Ring half the height to save weight</t>
  </si>
  <si>
    <t>Fin Type 1 A</t>
  </si>
  <si>
    <t>Fin Type 1 B</t>
  </si>
  <si>
    <t>Fin Type 1 C</t>
  </si>
  <si>
    <t>Fin Type 1 D</t>
  </si>
  <si>
    <t>Dark Purple</t>
  </si>
  <si>
    <t>Orignal downloaded Fin corrected for size</t>
  </si>
  <si>
    <t>Fin Type 1 C Large</t>
  </si>
  <si>
    <t>Orignal downloaded Fin corrected for size, shape Triangle</t>
  </si>
  <si>
    <t>Orignal downloaded Fin corrected for size, shape Round</t>
  </si>
  <si>
    <t>Orignal downloaded Fin corrected for size, shape Square</t>
  </si>
  <si>
    <t>Orignal downloaded Fin corrected for size,shape Round, Large</t>
  </si>
  <si>
    <t>Rail Guide Mount</t>
  </si>
  <si>
    <t>Red</t>
  </si>
  <si>
    <t>Rail Guide Mount Foot</t>
  </si>
  <si>
    <t>Rail Guide Mount Slider</t>
  </si>
  <si>
    <t>Rail Guide Mount Ring</t>
  </si>
  <si>
    <t>Rail Guide Mount Foot to screw in base and slide in square rails</t>
  </si>
  <si>
    <t>Rail Guide Mount Slider to slide the ring up and down in the rails</t>
  </si>
  <si>
    <t>Rail Guide Mount Ring to hold body rocket straight</t>
  </si>
  <si>
    <t>Bottle &amp; Nozzle &amp; Hose Connectors</t>
  </si>
  <si>
    <t>Orange</t>
  </si>
  <si>
    <t>Hose Connector Compressed Air Pomp</t>
  </si>
  <si>
    <t>Rail Guide Square Bar</t>
  </si>
  <si>
    <t>Square Rail Guide bar of 22mm x 22mm</t>
  </si>
  <si>
    <t>Garden hose that is rated for 12 bar</t>
  </si>
  <si>
    <t>Amount</t>
  </si>
  <si>
    <t>Garden hose</t>
  </si>
  <si>
    <t>GEKA Plus Two-way valve with internal thread MS G 3/4"</t>
  </si>
  <si>
    <t>FOR_Q Hose connector, 1/2" and 5/8"</t>
  </si>
  <si>
    <t xml:space="preserve">Hose connectors to </t>
  </si>
  <si>
    <t>Hose for water</t>
  </si>
  <si>
    <t>Hose for air</t>
  </si>
  <si>
    <t>Two-way valve</t>
  </si>
  <si>
    <t>Hose Connector Compressed Air Pomp to transiation from default valve to hose</t>
  </si>
  <si>
    <t>Improved bottle connector where a o ring slides between the walls and where the bottle screws in</t>
  </si>
  <si>
    <t>Valve Connector</t>
  </si>
  <si>
    <t>Improved bottle connector where a o ring slides between the walls and where the Air Pressure Quick release threads into</t>
  </si>
  <si>
    <t xml:space="preserve">1/4 "BSP Euro Air Line-connector female fitting internal thread
</t>
  </si>
  <si>
    <t xml:space="preserve">1/4 "BSP Euro Air Line-connector male fitting with BSP female thread
</t>
  </si>
  <si>
    <t>Air Pressure Quick Release</t>
  </si>
  <si>
    <t>Air Pressure Quick Release Fitting</t>
  </si>
  <si>
    <t>Light Green</t>
  </si>
  <si>
    <t>Servo Arms</t>
  </si>
  <si>
    <t>Servo Motor Arm Type 1</t>
  </si>
  <si>
    <t>Servo Motor Arm Type 2</t>
  </si>
  <si>
    <t>Servo Motor Arm Type 1 where round arm is squared</t>
  </si>
  <si>
    <t>Servo Motor Arm Type 1 where round arm is squared en extended</t>
  </si>
  <si>
    <t>Dark Green</t>
  </si>
  <si>
    <t>Launching Platform Air Pressure Release</t>
  </si>
  <si>
    <t>Launch Platform Base Air pressure Quick release</t>
  </si>
  <si>
    <t>Green</t>
  </si>
  <si>
    <t>Launching Platform Cable Tie Release</t>
  </si>
  <si>
    <t>Remix</t>
  </si>
  <si>
    <t>https://www.thingiverse.com/thing:4564390</t>
  </si>
  <si>
    <t>https://www.thingiverse.com/thing:3642349</t>
  </si>
  <si>
    <t>https://www.thingiverse.com/thing:294758</t>
  </si>
  <si>
    <t>https://www.thingiverse.com/thing:2835346</t>
  </si>
  <si>
    <t>Payload Enclosure</t>
  </si>
  <si>
    <t>Yellow</t>
  </si>
  <si>
    <t>Blue</t>
  </si>
  <si>
    <t>Parachute Ejection Module</t>
  </si>
  <si>
    <t>Simple Rocket &amp; Parachute Module</t>
  </si>
  <si>
    <t>Gray</t>
  </si>
  <si>
    <t>Launch Platform Foot</t>
  </si>
  <si>
    <t>Launch Platform Leg</t>
  </si>
  <si>
    <t>Launch Platform Air pressure Cable Tie Trigger</t>
  </si>
  <si>
    <t>Launch Platform Air pressure Cable Tie Holder</t>
  </si>
  <si>
    <t>https://www.raketfuedrockets.com/en/3dprinting.htm#xl_PodPad</t>
  </si>
  <si>
    <t>Customized Raketfuedrockets PodPad Launch Platform Base for Air pressure Quick release BSP Euro line</t>
  </si>
  <si>
    <t>PodPad Launch Platform Foot</t>
  </si>
  <si>
    <t>Launch Platform Air pressure Quick release Trigger</t>
  </si>
  <si>
    <t>Customized Raketfuedrockets PodPad Launch Platform Qucik Release for Air pressure BSP Euro line</t>
  </si>
  <si>
    <t>Launch Platform Base Air pressure Cable Tie</t>
  </si>
  <si>
    <t>Customized Raketfuedrockets PodPad Launch Platform Base for Air pressure Cable Tie</t>
  </si>
  <si>
    <t>Standard Cable Tie Trigger</t>
  </si>
  <si>
    <t>Standard Cable Tie Holder</t>
  </si>
  <si>
    <t>Standard Cable Tie Slider</t>
  </si>
  <si>
    <t>Payload Bottle Connector Type A</t>
  </si>
  <si>
    <t>Nose Cone Tip</t>
  </si>
  <si>
    <t>Mount for ESP32 controller</t>
  </si>
  <si>
    <t>Mount for 3000 mAh Li-On Battery 7.4 V</t>
  </si>
  <si>
    <t>Connector between top of bottle and and Payload Body</t>
  </si>
  <si>
    <t>Payload body with small rails to mount ESP and Battery</t>
  </si>
  <si>
    <t>Nose Cone Tip of the parachute eject system</t>
  </si>
  <si>
    <t xml:space="preserve">Nose Cone Body of the parachute eject system that slides over body </t>
  </si>
  <si>
    <t>Payload Bottle Connector Type B</t>
  </si>
  <si>
    <t>Connector between top of bottle and and Parachute Body</t>
  </si>
  <si>
    <t>Nose Cone Body Type B</t>
  </si>
  <si>
    <t>Nose Cone Body Type A</t>
  </si>
  <si>
    <t>Payload Nose Connector</t>
  </si>
  <si>
    <t>Connector between top of the Payload Body and the Nose</t>
  </si>
  <si>
    <t>Nose Cone Body of the parachute eject system that connects to Payload Bottle Connector Type A</t>
  </si>
  <si>
    <t>Nose Cone Ejection hach of the parachute eject system</t>
  </si>
  <si>
    <t>Launch Platform Air pressure Cable Tie Slider</t>
  </si>
  <si>
    <t>Parachute Mechanical Trigger Part 1</t>
  </si>
  <si>
    <t>Parachute Mechanical Trigger Part 2</t>
  </si>
  <si>
    <t>Parachute Mechanical Trigger Part Square</t>
  </si>
  <si>
    <t>Parachute Mechanical Trigger Part Stick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</si>
</sst>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3" xfId="0" applyBorder="1"/>
    <xf numFmtId="0" fontId="1" fillId="0" borderId="1" xfId="0" applyFont="1" applyBorder="1"/>
    <xf numFmtId="0" fontId="0" fillId="0" borderId="6" xfId="0" applyBorder="1"/>
    <xf numFmtId="0" fontId="0" fillId="0" borderId="4" xfId="0" applyBorder="1"/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6" xfId="0" applyFont="1" applyBorder="1"/>
  </cellXfs>
  <cellStyles count="1">
    <cellStyle name="Standaard" xfId="0" builtinId="0"/>
  </cellStyles>
  <dxfs count="2"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DCA1F5-7D03-49CA-9541-DA4BC3593CDE}" name="Tabel1" displayName="Tabel1" ref="A1:E36" totalsRowShown="0" headerRowDxfId="1">
  <autoFilter ref="A1:E36" xr:uid="{01DCA1F5-7D03-49CA-9541-DA4BC3593CDE}"/>
  <tableColumns count="5">
    <tableColumn id="1" xr3:uid="{4D08D9E2-DD36-4605-8538-0E3FE2012202}" name="Part"/>
    <tableColumn id="2" xr3:uid="{032B3B0C-5B53-48C1-B45B-48CCACDA27E3}" name="Color"/>
    <tableColumn id="3" xr3:uid="{9B0E1B5C-12F5-471C-B4F6-C7A26848EEA0}" name="Use"/>
    <tableColumn id="4" xr3:uid="{2B37FF00-CAFC-49A9-8611-2570AC45F285}" name="Description" dataDxfId="0"/>
    <tableColumn id="5" xr3:uid="{3088C37C-AEF9-469F-B242-E443B6147DC8}" name="Remix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86535D-F8A9-4B2A-8D7E-A3B50A57ADFF}" name="Tabel2" displayName="Tabel2" ref="A1:D20" totalsRowShown="0">
  <autoFilter ref="A1:D20" xr:uid="{2A86535D-F8A9-4B2A-8D7E-A3B50A57ADFF}"/>
  <tableColumns count="4">
    <tableColumn id="1" xr3:uid="{DAF97306-B632-4DC4-A36B-863D0AA2F783}" name="Part"/>
    <tableColumn id="2" xr3:uid="{DDE2FBA0-34F7-4A70-9EB0-A5D5EEFE439F}" name="Amount"/>
    <tableColumn id="3" xr3:uid="{6C3ED479-B624-4107-807A-E65D4AEC145E}" name="Use"/>
    <tableColumn id="4" xr3:uid="{C9BBCE93-E37B-458A-8DFB-EFFE9EE5B27A}" name="Description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workbookViewId="0">
      <selection activeCell="N18" sqref="N18"/>
    </sheetView>
  </sheetViews>
  <sheetFormatPr defaultRowHeight="15" x14ac:dyDescent="0.25"/>
  <cols>
    <col min="1" max="1" width="30.5703125" bestFit="1" customWidth="1"/>
    <col min="2" max="2" width="7.5703125" bestFit="1" customWidth="1"/>
    <col min="3" max="10" width="13.7109375" style="8" customWidth="1"/>
    <col min="11" max="11" width="7" bestFit="1" customWidth="1"/>
  </cols>
  <sheetData>
    <row r="1" spans="1:12" s="1" customFormat="1" ht="60.75" thickBot="1" x14ac:dyDescent="0.3">
      <c r="A1" s="3" t="s">
        <v>0</v>
      </c>
      <c r="B1" s="13" t="s">
        <v>23</v>
      </c>
      <c r="C1" s="12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26</v>
      </c>
      <c r="L1" s="7" t="s">
        <v>27</v>
      </c>
    </row>
    <row r="2" spans="1:12" x14ac:dyDescent="0.25">
      <c r="A2" s="2" t="s">
        <v>9</v>
      </c>
      <c r="B2" s="2">
        <v>19</v>
      </c>
      <c r="C2" s="8">
        <v>1</v>
      </c>
      <c r="D2" s="8">
        <f>B2*C2</f>
        <v>19</v>
      </c>
      <c r="E2" s="8">
        <v>1</v>
      </c>
      <c r="F2" s="8">
        <f>B2*E2</f>
        <v>19</v>
      </c>
      <c r="G2" s="8">
        <v>1</v>
      </c>
      <c r="H2" s="8">
        <f>B2*G2</f>
        <v>19</v>
      </c>
      <c r="I2" s="8">
        <v>1</v>
      </c>
      <c r="J2" s="9">
        <f>B2*I2</f>
        <v>19</v>
      </c>
      <c r="K2" s="8">
        <v>1</v>
      </c>
      <c r="L2" s="9">
        <f t="shared" ref="L2:L26" si="0">B2*K2</f>
        <v>19</v>
      </c>
    </row>
    <row r="3" spans="1:12" x14ac:dyDescent="0.25">
      <c r="A3" s="2" t="s">
        <v>10</v>
      </c>
      <c r="B3" s="2">
        <v>23</v>
      </c>
      <c r="C3" s="8">
        <v>1</v>
      </c>
      <c r="D3" s="8">
        <f t="shared" ref="D3:D26" si="1">B3*C3</f>
        <v>23</v>
      </c>
      <c r="E3" s="8">
        <v>1</v>
      </c>
      <c r="F3" s="8">
        <f t="shared" ref="F3:F26" si="2">B3*E3</f>
        <v>23</v>
      </c>
      <c r="G3" s="8">
        <v>1</v>
      </c>
      <c r="H3" s="8">
        <f t="shared" ref="H3:H26" si="3">B3*G3</f>
        <v>23</v>
      </c>
      <c r="I3" s="8">
        <v>1</v>
      </c>
      <c r="J3" s="9">
        <f t="shared" ref="J3:J26" si="4">B3*I3</f>
        <v>23</v>
      </c>
      <c r="K3" s="8">
        <v>1</v>
      </c>
      <c r="L3" s="9">
        <f t="shared" si="0"/>
        <v>23</v>
      </c>
    </row>
    <row r="4" spans="1:12" x14ac:dyDescent="0.25">
      <c r="A4" s="2" t="s">
        <v>11</v>
      </c>
      <c r="B4" s="2">
        <v>26</v>
      </c>
      <c r="C4" s="8">
        <v>0</v>
      </c>
      <c r="D4" s="8">
        <f t="shared" si="1"/>
        <v>0</v>
      </c>
      <c r="E4" s="8">
        <v>1</v>
      </c>
      <c r="F4" s="8">
        <f t="shared" si="2"/>
        <v>26</v>
      </c>
      <c r="G4" s="8">
        <v>2</v>
      </c>
      <c r="H4" s="8">
        <f t="shared" si="3"/>
        <v>52</v>
      </c>
      <c r="I4" s="8">
        <v>3</v>
      </c>
      <c r="J4" s="9">
        <f t="shared" si="4"/>
        <v>78</v>
      </c>
      <c r="K4" s="8">
        <v>4</v>
      </c>
      <c r="L4" s="9">
        <f t="shared" si="0"/>
        <v>104</v>
      </c>
    </row>
    <row r="5" spans="1:12" x14ac:dyDescent="0.25">
      <c r="A5" s="2" t="s">
        <v>12</v>
      </c>
      <c r="B5" s="2">
        <v>41.25</v>
      </c>
      <c r="C5" s="8">
        <v>1</v>
      </c>
      <c r="D5" s="8">
        <f t="shared" si="1"/>
        <v>41.25</v>
      </c>
      <c r="E5" s="8">
        <v>1</v>
      </c>
      <c r="F5" s="8">
        <f t="shared" si="2"/>
        <v>41.25</v>
      </c>
      <c r="G5" s="8">
        <v>1</v>
      </c>
      <c r="H5" s="8">
        <f t="shared" si="3"/>
        <v>41.25</v>
      </c>
      <c r="I5" s="8">
        <v>1</v>
      </c>
      <c r="J5" s="9">
        <f t="shared" si="4"/>
        <v>41.25</v>
      </c>
      <c r="K5" s="8">
        <v>1</v>
      </c>
      <c r="L5" s="9">
        <f t="shared" si="0"/>
        <v>41.25</v>
      </c>
    </row>
    <row r="6" spans="1:12" x14ac:dyDescent="0.25">
      <c r="A6" s="2" t="s">
        <v>13</v>
      </c>
      <c r="B6" s="2">
        <v>80</v>
      </c>
      <c r="C6" s="8">
        <v>0</v>
      </c>
      <c r="D6" s="8">
        <f t="shared" si="1"/>
        <v>0</v>
      </c>
      <c r="E6" s="8">
        <v>1</v>
      </c>
      <c r="F6" s="8">
        <f t="shared" si="2"/>
        <v>80</v>
      </c>
      <c r="G6" s="8">
        <v>2</v>
      </c>
      <c r="H6" s="8">
        <f t="shared" si="3"/>
        <v>160</v>
      </c>
      <c r="I6" s="8">
        <v>3</v>
      </c>
      <c r="J6" s="9">
        <f t="shared" si="4"/>
        <v>240</v>
      </c>
      <c r="K6" s="8">
        <v>4</v>
      </c>
      <c r="L6" s="9">
        <f>B6*K6</f>
        <v>320</v>
      </c>
    </row>
    <row r="7" spans="1:12" x14ac:dyDescent="0.25">
      <c r="A7" s="2" t="s">
        <v>118</v>
      </c>
      <c r="B7" s="2">
        <v>43</v>
      </c>
      <c r="C7" s="8">
        <v>1</v>
      </c>
      <c r="D7" s="8">
        <f t="shared" si="1"/>
        <v>43</v>
      </c>
      <c r="E7" s="8">
        <v>0</v>
      </c>
      <c r="F7" s="8">
        <f t="shared" si="2"/>
        <v>0</v>
      </c>
      <c r="G7" s="8">
        <v>0</v>
      </c>
      <c r="H7" s="8">
        <f t="shared" si="3"/>
        <v>0</v>
      </c>
      <c r="I7" s="8">
        <v>0</v>
      </c>
      <c r="J7" s="9">
        <f t="shared" si="4"/>
        <v>0</v>
      </c>
      <c r="K7" s="8">
        <v>0</v>
      </c>
      <c r="L7" s="9">
        <f t="shared" si="0"/>
        <v>0</v>
      </c>
    </row>
    <row r="8" spans="1:12" x14ac:dyDescent="0.25">
      <c r="A8" s="2" t="s">
        <v>126</v>
      </c>
      <c r="B8" s="2">
        <v>47</v>
      </c>
      <c r="C8" s="8">
        <v>0</v>
      </c>
      <c r="D8" s="8">
        <f t="shared" si="1"/>
        <v>0</v>
      </c>
      <c r="E8" s="8">
        <v>1</v>
      </c>
      <c r="F8" s="8">
        <f t="shared" si="2"/>
        <v>47</v>
      </c>
      <c r="G8" s="8">
        <v>1</v>
      </c>
      <c r="H8" s="8">
        <f t="shared" si="3"/>
        <v>47</v>
      </c>
      <c r="I8" s="8">
        <v>1</v>
      </c>
      <c r="J8" s="9">
        <f t="shared" si="4"/>
        <v>47</v>
      </c>
      <c r="K8" s="8">
        <v>1</v>
      </c>
      <c r="L8" s="9">
        <f t="shared" si="0"/>
        <v>47</v>
      </c>
    </row>
    <row r="9" spans="1:12" x14ac:dyDescent="0.25">
      <c r="A9" s="2" t="s">
        <v>14</v>
      </c>
      <c r="B9" s="2">
        <v>74</v>
      </c>
      <c r="C9" s="8">
        <v>0</v>
      </c>
      <c r="D9" s="8">
        <f>B9*C9</f>
        <v>0</v>
      </c>
      <c r="E9" s="8">
        <v>1</v>
      </c>
      <c r="F9" s="8">
        <f t="shared" si="2"/>
        <v>74</v>
      </c>
      <c r="G9" s="8">
        <v>1</v>
      </c>
      <c r="H9" s="8">
        <f t="shared" si="3"/>
        <v>74</v>
      </c>
      <c r="I9" s="8">
        <v>1</v>
      </c>
      <c r="J9" s="9">
        <f t="shared" si="4"/>
        <v>74</v>
      </c>
      <c r="K9" s="8">
        <v>1</v>
      </c>
      <c r="L9" s="9">
        <f t="shared" si="0"/>
        <v>74</v>
      </c>
    </row>
    <row r="10" spans="1:12" x14ac:dyDescent="0.25">
      <c r="A10" s="2" t="s">
        <v>15</v>
      </c>
      <c r="B10" s="2">
        <v>40</v>
      </c>
      <c r="C10" s="8">
        <v>0</v>
      </c>
      <c r="D10" s="8">
        <f t="shared" ref="D10:D16" si="5">B10*C10</f>
        <v>0</v>
      </c>
      <c r="E10" s="8">
        <v>1</v>
      </c>
      <c r="F10" s="8">
        <f t="shared" si="2"/>
        <v>40</v>
      </c>
      <c r="G10" s="8">
        <v>1</v>
      </c>
      <c r="H10" s="8">
        <f t="shared" si="3"/>
        <v>40</v>
      </c>
      <c r="I10" s="8">
        <v>1</v>
      </c>
      <c r="J10" s="9">
        <f t="shared" si="4"/>
        <v>40</v>
      </c>
      <c r="K10" s="8">
        <v>1</v>
      </c>
      <c r="L10" s="9">
        <f t="shared" si="0"/>
        <v>40</v>
      </c>
    </row>
    <row r="11" spans="1:12" x14ac:dyDescent="0.25">
      <c r="A11" s="2" t="s">
        <v>24</v>
      </c>
      <c r="B11" s="2">
        <v>7</v>
      </c>
      <c r="C11" s="8">
        <v>0</v>
      </c>
      <c r="D11" s="8">
        <f t="shared" si="5"/>
        <v>0</v>
      </c>
      <c r="E11" s="8">
        <v>1</v>
      </c>
      <c r="F11" s="8">
        <f t="shared" si="2"/>
        <v>7</v>
      </c>
      <c r="G11" s="8">
        <v>1</v>
      </c>
      <c r="H11" s="8">
        <f t="shared" si="3"/>
        <v>7</v>
      </c>
      <c r="I11" s="8">
        <v>1</v>
      </c>
      <c r="J11" s="9">
        <f t="shared" si="4"/>
        <v>7</v>
      </c>
      <c r="K11" s="8">
        <v>1</v>
      </c>
      <c r="L11" s="9">
        <f t="shared" si="0"/>
        <v>7</v>
      </c>
    </row>
    <row r="12" spans="1:12" x14ac:dyDescent="0.25">
      <c r="A12" s="2" t="s">
        <v>16</v>
      </c>
      <c r="B12" s="2">
        <v>97</v>
      </c>
      <c r="C12" s="8">
        <v>0</v>
      </c>
      <c r="D12" s="8">
        <f t="shared" si="5"/>
        <v>0</v>
      </c>
      <c r="E12" s="8">
        <v>1</v>
      </c>
      <c r="F12" s="8">
        <f t="shared" si="2"/>
        <v>97</v>
      </c>
      <c r="G12" s="8">
        <v>1</v>
      </c>
      <c r="H12" s="8">
        <f t="shared" si="3"/>
        <v>97</v>
      </c>
      <c r="I12" s="8">
        <v>1</v>
      </c>
      <c r="J12" s="9">
        <f t="shared" si="4"/>
        <v>97</v>
      </c>
      <c r="K12" s="8">
        <v>1</v>
      </c>
      <c r="L12" s="9">
        <f t="shared" si="0"/>
        <v>97</v>
      </c>
    </row>
    <row r="13" spans="1:12" x14ac:dyDescent="0.25">
      <c r="A13" s="2" t="s">
        <v>25</v>
      </c>
      <c r="B13" s="2">
        <v>8</v>
      </c>
      <c r="C13" s="8">
        <v>0</v>
      </c>
      <c r="D13" s="8">
        <f t="shared" si="5"/>
        <v>0</v>
      </c>
      <c r="E13" s="8">
        <v>1</v>
      </c>
      <c r="F13" s="8">
        <f t="shared" si="2"/>
        <v>8</v>
      </c>
      <c r="G13" s="8">
        <v>1</v>
      </c>
      <c r="H13" s="8">
        <f t="shared" si="3"/>
        <v>8</v>
      </c>
      <c r="I13" s="8">
        <v>1</v>
      </c>
      <c r="J13" s="9">
        <f t="shared" si="4"/>
        <v>8</v>
      </c>
      <c r="K13" s="8">
        <v>1</v>
      </c>
      <c r="L13" s="9">
        <f t="shared" si="0"/>
        <v>8</v>
      </c>
    </row>
    <row r="14" spans="1:12" x14ac:dyDescent="0.25">
      <c r="A14" s="2" t="s">
        <v>17</v>
      </c>
      <c r="B14" s="2">
        <v>26</v>
      </c>
      <c r="C14" s="8">
        <v>1</v>
      </c>
      <c r="D14" s="8">
        <f t="shared" si="5"/>
        <v>26</v>
      </c>
      <c r="E14" s="8">
        <v>0</v>
      </c>
      <c r="F14" s="8">
        <f t="shared" si="2"/>
        <v>0</v>
      </c>
      <c r="G14" s="8">
        <v>0</v>
      </c>
      <c r="H14" s="8">
        <f t="shared" si="3"/>
        <v>0</v>
      </c>
      <c r="I14" s="8">
        <v>0</v>
      </c>
      <c r="J14" s="9">
        <f t="shared" si="4"/>
        <v>0</v>
      </c>
      <c r="K14" s="8">
        <v>0</v>
      </c>
      <c r="L14" s="9">
        <f t="shared" si="0"/>
        <v>0</v>
      </c>
    </row>
    <row r="15" spans="1:12" x14ac:dyDescent="0.25">
      <c r="A15" s="2" t="s">
        <v>18</v>
      </c>
      <c r="B15" s="2">
        <v>66</v>
      </c>
      <c r="C15" s="8">
        <v>0</v>
      </c>
      <c r="D15" s="8">
        <f t="shared" si="5"/>
        <v>0</v>
      </c>
      <c r="E15" s="8">
        <v>1</v>
      </c>
      <c r="F15" s="8">
        <f t="shared" ref="F15" si="6">B15*E15</f>
        <v>66</v>
      </c>
      <c r="G15" s="8">
        <v>1</v>
      </c>
      <c r="H15" s="8">
        <f t="shared" si="3"/>
        <v>66</v>
      </c>
      <c r="I15" s="8">
        <v>1</v>
      </c>
      <c r="J15" s="9">
        <f t="shared" si="4"/>
        <v>66</v>
      </c>
      <c r="K15" s="8">
        <v>0</v>
      </c>
      <c r="L15" s="9">
        <f t="shared" si="0"/>
        <v>0</v>
      </c>
    </row>
    <row r="16" spans="1:12" x14ac:dyDescent="0.25">
      <c r="A16" s="2" t="s">
        <v>19</v>
      </c>
      <c r="B16" s="2">
        <v>100</v>
      </c>
      <c r="C16" s="8">
        <v>0</v>
      </c>
      <c r="D16" s="8">
        <f t="shared" si="5"/>
        <v>0</v>
      </c>
      <c r="E16" s="8">
        <v>0</v>
      </c>
      <c r="F16" s="8">
        <f t="shared" si="2"/>
        <v>0</v>
      </c>
      <c r="G16" s="8">
        <v>0</v>
      </c>
      <c r="H16" s="8">
        <f t="shared" si="3"/>
        <v>0</v>
      </c>
      <c r="I16" s="8">
        <v>0</v>
      </c>
      <c r="J16" s="9">
        <f t="shared" si="4"/>
        <v>0</v>
      </c>
      <c r="K16" s="8">
        <v>1</v>
      </c>
      <c r="L16" s="9">
        <f t="shared" si="0"/>
        <v>100</v>
      </c>
    </row>
    <row r="17" spans="1:12" x14ac:dyDescent="0.25">
      <c r="A17" s="2" t="s">
        <v>119</v>
      </c>
      <c r="B17" s="2">
        <v>42</v>
      </c>
      <c r="C17" s="8">
        <v>0</v>
      </c>
      <c r="D17" s="8">
        <f t="shared" ref="D17:D18" si="7">B17*C17</f>
        <v>0</v>
      </c>
      <c r="E17" s="8">
        <v>1</v>
      </c>
      <c r="F17" s="8">
        <f t="shared" si="2"/>
        <v>42</v>
      </c>
      <c r="G17" s="8">
        <v>1</v>
      </c>
      <c r="H17" s="8">
        <f t="shared" si="3"/>
        <v>42</v>
      </c>
      <c r="I17" s="8">
        <v>1</v>
      </c>
      <c r="J17" s="9">
        <f t="shared" si="4"/>
        <v>42</v>
      </c>
      <c r="K17" s="8">
        <v>1</v>
      </c>
      <c r="L17" s="9">
        <f t="shared" si="0"/>
        <v>42</v>
      </c>
    </row>
    <row r="18" spans="1:12" x14ac:dyDescent="0.25">
      <c r="A18" s="2" t="s">
        <v>129</v>
      </c>
      <c r="B18" s="2">
        <v>36</v>
      </c>
      <c r="C18" s="8">
        <v>1</v>
      </c>
      <c r="D18" s="8">
        <f t="shared" si="7"/>
        <v>36</v>
      </c>
      <c r="E18" s="8">
        <v>0</v>
      </c>
      <c r="F18" s="8">
        <f t="shared" si="2"/>
        <v>0</v>
      </c>
      <c r="G18" s="8">
        <v>0</v>
      </c>
      <c r="H18" s="8">
        <f t="shared" si="3"/>
        <v>0</v>
      </c>
      <c r="I18" s="8">
        <v>0</v>
      </c>
      <c r="J18" s="9">
        <f t="shared" si="4"/>
        <v>0</v>
      </c>
      <c r="K18" s="8">
        <v>0</v>
      </c>
      <c r="L18" s="9">
        <f t="shared" si="0"/>
        <v>0</v>
      </c>
    </row>
    <row r="19" spans="1:12" x14ac:dyDescent="0.25">
      <c r="A19" s="2" t="s">
        <v>128</v>
      </c>
      <c r="B19" s="2">
        <v>100</v>
      </c>
      <c r="C19" s="8">
        <v>0</v>
      </c>
      <c r="D19" s="8">
        <f t="shared" si="1"/>
        <v>0</v>
      </c>
      <c r="E19" s="8">
        <v>1</v>
      </c>
      <c r="F19" s="8">
        <f t="shared" si="2"/>
        <v>100</v>
      </c>
      <c r="G19" s="8">
        <v>1</v>
      </c>
      <c r="H19" s="8">
        <f t="shared" si="3"/>
        <v>100</v>
      </c>
      <c r="I19" s="8">
        <v>1</v>
      </c>
      <c r="J19" s="9">
        <f t="shared" si="4"/>
        <v>100</v>
      </c>
      <c r="K19" s="8">
        <v>1</v>
      </c>
      <c r="L19" s="9">
        <f t="shared" si="0"/>
        <v>100</v>
      </c>
    </row>
    <row r="20" spans="1:12" x14ac:dyDescent="0.25">
      <c r="A20" s="2" t="s">
        <v>21</v>
      </c>
      <c r="B20" s="2">
        <v>123</v>
      </c>
      <c r="C20" s="8">
        <v>0</v>
      </c>
      <c r="D20" s="8">
        <f t="shared" si="1"/>
        <v>0</v>
      </c>
      <c r="E20" s="8">
        <v>1</v>
      </c>
      <c r="F20" s="8">
        <f t="shared" si="2"/>
        <v>123</v>
      </c>
      <c r="G20" s="8">
        <v>1</v>
      </c>
      <c r="H20" s="8">
        <f t="shared" si="3"/>
        <v>123</v>
      </c>
      <c r="I20" s="8">
        <v>1</v>
      </c>
      <c r="J20" s="9">
        <f t="shared" si="4"/>
        <v>123</v>
      </c>
      <c r="K20" s="8">
        <v>1</v>
      </c>
      <c r="L20" s="9">
        <f t="shared" si="0"/>
        <v>123</v>
      </c>
    </row>
    <row r="21" spans="1:12" x14ac:dyDescent="0.25">
      <c r="A21" s="2" t="s">
        <v>20</v>
      </c>
      <c r="B21" s="2">
        <v>26</v>
      </c>
      <c r="C21" s="8">
        <v>0</v>
      </c>
      <c r="D21" s="8">
        <f t="shared" si="1"/>
        <v>0</v>
      </c>
      <c r="E21" s="8">
        <v>1</v>
      </c>
      <c r="F21" s="8">
        <f t="shared" si="2"/>
        <v>26</v>
      </c>
      <c r="G21" s="8">
        <v>1</v>
      </c>
      <c r="H21" s="8">
        <f t="shared" si="3"/>
        <v>26</v>
      </c>
      <c r="I21" s="8">
        <v>1</v>
      </c>
      <c r="J21" s="9">
        <f t="shared" si="4"/>
        <v>26</v>
      </c>
      <c r="K21" s="8">
        <v>1</v>
      </c>
      <c r="L21" s="9">
        <f t="shared" si="0"/>
        <v>26</v>
      </c>
    </row>
    <row r="22" spans="1:12" x14ac:dyDescent="0.25">
      <c r="A22" s="2" t="s">
        <v>28</v>
      </c>
      <c r="B22" s="2">
        <v>15</v>
      </c>
      <c r="C22" s="8">
        <v>0</v>
      </c>
      <c r="D22" s="8">
        <f t="shared" si="1"/>
        <v>0</v>
      </c>
      <c r="E22" s="8">
        <v>3</v>
      </c>
      <c r="F22" s="8">
        <f t="shared" si="2"/>
        <v>45</v>
      </c>
      <c r="G22" s="8">
        <v>3</v>
      </c>
      <c r="H22" s="8">
        <f t="shared" si="3"/>
        <v>45</v>
      </c>
      <c r="I22" s="8">
        <v>3</v>
      </c>
      <c r="J22" s="9">
        <f t="shared" si="4"/>
        <v>45</v>
      </c>
      <c r="K22" s="8">
        <v>3</v>
      </c>
      <c r="L22" s="9">
        <f t="shared" si="0"/>
        <v>45</v>
      </c>
    </row>
    <row r="23" spans="1:12" x14ac:dyDescent="0.25">
      <c r="A23" s="2" t="s">
        <v>29</v>
      </c>
      <c r="B23" s="2">
        <v>5</v>
      </c>
      <c r="C23" s="8">
        <v>0</v>
      </c>
      <c r="D23" s="8">
        <f t="shared" si="1"/>
        <v>0</v>
      </c>
      <c r="E23" s="8">
        <v>2</v>
      </c>
      <c r="F23" s="8">
        <f t="shared" si="2"/>
        <v>10</v>
      </c>
      <c r="G23" s="8">
        <v>2</v>
      </c>
      <c r="H23" s="8">
        <f t="shared" si="3"/>
        <v>10</v>
      </c>
      <c r="I23" s="8">
        <v>2</v>
      </c>
      <c r="J23" s="9">
        <f t="shared" si="4"/>
        <v>10</v>
      </c>
      <c r="K23" s="8">
        <v>2</v>
      </c>
      <c r="L23" s="9">
        <f t="shared" si="0"/>
        <v>10</v>
      </c>
    </row>
    <row r="24" spans="1:12" x14ac:dyDescent="0.25">
      <c r="A24" s="2" t="s">
        <v>31</v>
      </c>
      <c r="B24" s="2">
        <v>35</v>
      </c>
      <c r="C24" s="8">
        <v>0</v>
      </c>
      <c r="D24" s="8">
        <f t="shared" si="1"/>
        <v>0</v>
      </c>
      <c r="E24" s="8">
        <v>0</v>
      </c>
      <c r="F24" s="8">
        <f t="shared" si="2"/>
        <v>0</v>
      </c>
      <c r="G24" s="8">
        <v>0</v>
      </c>
      <c r="H24" s="8">
        <f t="shared" si="3"/>
        <v>0</v>
      </c>
      <c r="I24" s="8">
        <v>0</v>
      </c>
      <c r="J24" s="9">
        <f t="shared" si="4"/>
        <v>0</v>
      </c>
      <c r="K24" s="8">
        <v>0</v>
      </c>
      <c r="L24" s="9">
        <f t="shared" si="0"/>
        <v>0</v>
      </c>
    </row>
    <row r="25" spans="1:12" x14ac:dyDescent="0.25">
      <c r="A25" s="2" t="s">
        <v>30</v>
      </c>
      <c r="B25" s="2">
        <v>9</v>
      </c>
      <c r="C25" s="8">
        <v>0</v>
      </c>
      <c r="D25" s="8">
        <f t="shared" si="1"/>
        <v>0</v>
      </c>
      <c r="E25" s="8">
        <v>0</v>
      </c>
      <c r="F25" s="8">
        <f t="shared" si="2"/>
        <v>0</v>
      </c>
      <c r="G25" s="8">
        <v>0</v>
      </c>
      <c r="H25" s="8">
        <f t="shared" si="3"/>
        <v>0</v>
      </c>
      <c r="I25" s="8">
        <v>0</v>
      </c>
      <c r="J25" s="9">
        <f t="shared" si="4"/>
        <v>0</v>
      </c>
      <c r="K25" s="8">
        <v>0</v>
      </c>
      <c r="L25" s="9">
        <f t="shared" si="0"/>
        <v>0</v>
      </c>
    </row>
    <row r="26" spans="1:12" ht="15.75" thickBot="1" x14ac:dyDescent="0.3">
      <c r="A26" s="2" t="s">
        <v>22</v>
      </c>
      <c r="B26" s="2">
        <v>25</v>
      </c>
      <c r="C26" s="8">
        <v>0</v>
      </c>
      <c r="D26" s="8">
        <f t="shared" si="1"/>
        <v>0</v>
      </c>
      <c r="E26" s="8">
        <v>1</v>
      </c>
      <c r="F26" s="8">
        <f t="shared" si="2"/>
        <v>25</v>
      </c>
      <c r="G26" s="8">
        <v>1</v>
      </c>
      <c r="H26" s="8">
        <f t="shared" si="3"/>
        <v>25</v>
      </c>
      <c r="I26" s="8">
        <v>1</v>
      </c>
      <c r="J26" s="9">
        <f t="shared" si="4"/>
        <v>25</v>
      </c>
      <c r="K26" s="8">
        <v>1</v>
      </c>
      <c r="L26" s="9">
        <f t="shared" si="0"/>
        <v>25</v>
      </c>
    </row>
    <row r="27" spans="1:12" ht="19.5" thickBot="1" x14ac:dyDescent="0.35">
      <c r="A27" s="4"/>
      <c r="B27" s="5"/>
      <c r="C27" s="6"/>
      <c r="D27" s="10">
        <f>SUM(D2:D26)</f>
        <v>188.25</v>
      </c>
      <c r="E27" s="10"/>
      <c r="F27" s="10">
        <f>SUM(F2:F26)</f>
        <v>899.25</v>
      </c>
      <c r="G27" s="10"/>
      <c r="H27" s="10">
        <f>SUM(H2:H26)</f>
        <v>1005.25</v>
      </c>
      <c r="I27" s="10"/>
      <c r="J27" s="10">
        <f>SUM(J2:J26)</f>
        <v>1111.25</v>
      </c>
      <c r="K27" s="10"/>
      <c r="L27" s="11">
        <f>SUM(L2:L26)</f>
        <v>1251.25</v>
      </c>
    </row>
  </sheetData>
  <conditionalFormatting sqref="B2:B20 B22:B26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20 D22:D26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:F20 F22:F26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20 H22:H26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20 J22:J26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20 L22:L26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60318-0FDA-49C9-A3C2-8F221AE6B063}">
  <dimension ref="A1:E36"/>
  <sheetViews>
    <sheetView tabSelected="1" topLeftCell="B1" workbookViewId="0">
      <selection activeCell="E1" sqref="A1:E1048576"/>
    </sheetView>
  </sheetViews>
  <sheetFormatPr defaultRowHeight="15" x14ac:dyDescent="0.25"/>
  <cols>
    <col min="1" max="1" width="54.7109375" customWidth="1"/>
    <col min="2" max="2" width="11.5703125" customWidth="1"/>
    <col min="3" max="3" width="37.42578125" customWidth="1"/>
    <col min="4" max="4" width="111.5703125" bestFit="1" customWidth="1"/>
    <col min="5" max="5" width="61.85546875" bestFit="1" customWidth="1"/>
  </cols>
  <sheetData>
    <row r="1" spans="1:5" x14ac:dyDescent="0.25">
      <c r="A1" s="1" t="s">
        <v>0</v>
      </c>
      <c r="B1" s="1" t="s">
        <v>32</v>
      </c>
      <c r="C1" s="1" t="s">
        <v>34</v>
      </c>
      <c r="D1" s="1" t="s">
        <v>33</v>
      </c>
      <c r="E1" s="1" t="s">
        <v>93</v>
      </c>
    </row>
    <row r="2" spans="1:5" x14ac:dyDescent="0.25">
      <c r="A2" t="s">
        <v>35</v>
      </c>
      <c r="B2" t="s">
        <v>36</v>
      </c>
      <c r="C2" t="s">
        <v>37</v>
      </c>
      <c r="D2" t="s">
        <v>38</v>
      </c>
    </row>
    <row r="3" spans="1:5" x14ac:dyDescent="0.25">
      <c r="A3" t="s">
        <v>39</v>
      </c>
      <c r="B3" t="s">
        <v>36</v>
      </c>
      <c r="C3" t="s">
        <v>37</v>
      </c>
      <c r="D3" t="s">
        <v>40</v>
      </c>
    </row>
    <row r="4" spans="1:5" x14ac:dyDescent="0.25">
      <c r="A4" t="s">
        <v>41</v>
      </c>
      <c r="B4" t="s">
        <v>45</v>
      </c>
      <c r="C4" t="s">
        <v>37</v>
      </c>
      <c r="D4" t="s">
        <v>46</v>
      </c>
      <c r="E4" t="s">
        <v>95</v>
      </c>
    </row>
    <row r="5" spans="1:5" x14ac:dyDescent="0.25">
      <c r="A5" t="s">
        <v>42</v>
      </c>
      <c r="B5" t="s">
        <v>36</v>
      </c>
      <c r="C5" t="s">
        <v>37</v>
      </c>
      <c r="D5" t="s">
        <v>48</v>
      </c>
    </row>
    <row r="6" spans="1:5" x14ac:dyDescent="0.25">
      <c r="A6" t="s">
        <v>43</v>
      </c>
      <c r="B6" t="s">
        <v>36</v>
      </c>
      <c r="C6" t="s">
        <v>37</v>
      </c>
      <c r="D6" t="s">
        <v>49</v>
      </c>
    </row>
    <row r="7" spans="1:5" x14ac:dyDescent="0.25">
      <c r="A7" t="s">
        <v>44</v>
      </c>
      <c r="B7" t="s">
        <v>36</v>
      </c>
      <c r="C7" t="s">
        <v>37</v>
      </c>
      <c r="D7" t="s">
        <v>50</v>
      </c>
    </row>
    <row r="8" spans="1:5" x14ac:dyDescent="0.25">
      <c r="A8" t="s">
        <v>47</v>
      </c>
      <c r="B8" t="s">
        <v>36</v>
      </c>
      <c r="C8" t="s">
        <v>37</v>
      </c>
      <c r="D8" t="s">
        <v>51</v>
      </c>
    </row>
    <row r="9" spans="1:5" x14ac:dyDescent="0.25">
      <c r="A9" t="s">
        <v>54</v>
      </c>
      <c r="B9" t="s">
        <v>53</v>
      </c>
      <c r="C9" t="s">
        <v>52</v>
      </c>
      <c r="D9" t="s">
        <v>57</v>
      </c>
    </row>
    <row r="10" spans="1:5" x14ac:dyDescent="0.25">
      <c r="A10" t="s">
        <v>55</v>
      </c>
      <c r="B10" t="s">
        <v>53</v>
      </c>
      <c r="C10" t="s">
        <v>52</v>
      </c>
      <c r="D10" t="s">
        <v>58</v>
      </c>
    </row>
    <row r="11" spans="1:5" x14ac:dyDescent="0.25">
      <c r="A11" t="s">
        <v>56</v>
      </c>
      <c r="B11" t="s">
        <v>53</v>
      </c>
      <c r="C11" t="s">
        <v>52</v>
      </c>
      <c r="D11" t="s">
        <v>59</v>
      </c>
    </row>
    <row r="12" spans="1:5" x14ac:dyDescent="0.25">
      <c r="A12" t="s">
        <v>62</v>
      </c>
      <c r="B12" t="s">
        <v>61</v>
      </c>
      <c r="C12" t="s">
        <v>60</v>
      </c>
      <c r="D12" t="s">
        <v>74</v>
      </c>
    </row>
    <row r="13" spans="1:5" x14ac:dyDescent="0.25">
      <c r="A13" t="s">
        <v>11</v>
      </c>
      <c r="B13" t="s">
        <v>61</v>
      </c>
      <c r="C13" t="s">
        <v>60</v>
      </c>
      <c r="D13" t="s">
        <v>75</v>
      </c>
    </row>
    <row r="14" spans="1:5" x14ac:dyDescent="0.25">
      <c r="A14" t="s">
        <v>76</v>
      </c>
      <c r="B14" t="s">
        <v>61</v>
      </c>
      <c r="C14" t="s">
        <v>60</v>
      </c>
      <c r="D14" t="s">
        <v>77</v>
      </c>
    </row>
    <row r="15" spans="1:5" x14ac:dyDescent="0.25">
      <c r="A15" t="s">
        <v>84</v>
      </c>
      <c r="B15" t="s">
        <v>82</v>
      </c>
      <c r="C15" t="s">
        <v>83</v>
      </c>
      <c r="D15" t="s">
        <v>86</v>
      </c>
    </row>
    <row r="16" spans="1:5" x14ac:dyDescent="0.25">
      <c r="A16" t="s">
        <v>85</v>
      </c>
      <c r="B16" t="s">
        <v>82</v>
      </c>
      <c r="C16" t="s">
        <v>83</v>
      </c>
      <c r="D16" t="s">
        <v>87</v>
      </c>
    </row>
    <row r="17" spans="1:5" x14ac:dyDescent="0.25">
      <c r="A17" t="s">
        <v>90</v>
      </c>
      <c r="B17" t="s">
        <v>88</v>
      </c>
      <c r="C17" t="s">
        <v>89</v>
      </c>
      <c r="D17" t="s">
        <v>109</v>
      </c>
      <c r="E17" t="s">
        <v>108</v>
      </c>
    </row>
    <row r="18" spans="1:5" x14ac:dyDescent="0.25">
      <c r="A18" t="s">
        <v>104</v>
      </c>
      <c r="B18" t="s">
        <v>88</v>
      </c>
      <c r="C18" t="s">
        <v>89</v>
      </c>
      <c r="D18" t="s">
        <v>110</v>
      </c>
      <c r="E18" t="s">
        <v>108</v>
      </c>
    </row>
    <row r="19" spans="1:5" x14ac:dyDescent="0.25">
      <c r="A19" t="s">
        <v>105</v>
      </c>
      <c r="B19" t="s">
        <v>88</v>
      </c>
      <c r="C19" t="s">
        <v>89</v>
      </c>
      <c r="D19" t="s">
        <v>105</v>
      </c>
    </row>
    <row r="20" spans="1:5" x14ac:dyDescent="0.25">
      <c r="A20" t="s">
        <v>111</v>
      </c>
      <c r="B20" t="s">
        <v>88</v>
      </c>
      <c r="C20" t="s">
        <v>89</v>
      </c>
      <c r="D20" t="s">
        <v>112</v>
      </c>
      <c r="E20" t="s">
        <v>108</v>
      </c>
    </row>
    <row r="21" spans="1:5" x14ac:dyDescent="0.25">
      <c r="A21" t="s">
        <v>113</v>
      </c>
      <c r="B21" t="s">
        <v>91</v>
      </c>
      <c r="C21" t="s">
        <v>92</v>
      </c>
      <c r="D21" t="s">
        <v>114</v>
      </c>
      <c r="E21" t="s">
        <v>108</v>
      </c>
    </row>
    <row r="22" spans="1:5" x14ac:dyDescent="0.25">
      <c r="A22" t="s">
        <v>106</v>
      </c>
      <c r="B22" t="s">
        <v>91</v>
      </c>
      <c r="C22" t="s">
        <v>92</v>
      </c>
      <c r="D22" t="s">
        <v>115</v>
      </c>
      <c r="E22" t="s">
        <v>97</v>
      </c>
    </row>
    <row r="23" spans="1:5" x14ac:dyDescent="0.25">
      <c r="A23" t="s">
        <v>107</v>
      </c>
      <c r="B23" t="s">
        <v>91</v>
      </c>
      <c r="C23" t="s">
        <v>92</v>
      </c>
      <c r="D23" t="s">
        <v>116</v>
      </c>
      <c r="E23" t="s">
        <v>97</v>
      </c>
    </row>
    <row r="24" spans="1:5" x14ac:dyDescent="0.25">
      <c r="A24" t="s">
        <v>134</v>
      </c>
      <c r="B24" t="s">
        <v>91</v>
      </c>
      <c r="C24" t="s">
        <v>92</v>
      </c>
      <c r="D24" t="s">
        <v>117</v>
      </c>
      <c r="E24" t="s">
        <v>97</v>
      </c>
    </row>
    <row r="25" spans="1:5" x14ac:dyDescent="0.25">
      <c r="A25" t="s">
        <v>24</v>
      </c>
      <c r="B25" t="s">
        <v>99</v>
      </c>
      <c r="C25" t="s">
        <v>98</v>
      </c>
      <c r="D25" t="s">
        <v>120</v>
      </c>
    </row>
    <row r="26" spans="1:5" x14ac:dyDescent="0.25">
      <c r="A26" t="s">
        <v>25</v>
      </c>
      <c r="B26" t="s">
        <v>99</v>
      </c>
      <c r="C26" t="s">
        <v>98</v>
      </c>
      <c r="D26" t="s">
        <v>121</v>
      </c>
    </row>
    <row r="27" spans="1:5" x14ac:dyDescent="0.25">
      <c r="A27" t="s">
        <v>126</v>
      </c>
      <c r="B27" t="s">
        <v>99</v>
      </c>
      <c r="C27" t="s">
        <v>98</v>
      </c>
      <c r="D27" t="s">
        <v>122</v>
      </c>
    </row>
    <row r="28" spans="1:5" x14ac:dyDescent="0.25">
      <c r="A28" t="s">
        <v>14</v>
      </c>
      <c r="B28" t="s">
        <v>99</v>
      </c>
      <c r="C28" t="s">
        <v>98</v>
      </c>
      <c r="D28" t="s">
        <v>123</v>
      </c>
    </row>
    <row r="29" spans="1:5" x14ac:dyDescent="0.25">
      <c r="A29" t="s">
        <v>130</v>
      </c>
      <c r="B29" t="s">
        <v>99</v>
      </c>
      <c r="C29" t="s">
        <v>98</v>
      </c>
      <c r="D29" t="s">
        <v>131</v>
      </c>
    </row>
    <row r="30" spans="1:5" x14ac:dyDescent="0.25">
      <c r="A30" t="s">
        <v>119</v>
      </c>
      <c r="B30" t="s">
        <v>100</v>
      </c>
      <c r="C30" t="s">
        <v>101</v>
      </c>
      <c r="D30" t="s">
        <v>124</v>
      </c>
      <c r="E30" t="s">
        <v>94</v>
      </c>
    </row>
    <row r="31" spans="1:5" x14ac:dyDescent="0.25">
      <c r="A31" t="s">
        <v>128</v>
      </c>
      <c r="B31" t="s">
        <v>100</v>
      </c>
      <c r="C31" t="s">
        <v>101</v>
      </c>
      <c r="D31" t="s">
        <v>125</v>
      </c>
      <c r="E31" t="s">
        <v>94</v>
      </c>
    </row>
    <row r="32" spans="1:5" x14ac:dyDescent="0.25">
      <c r="A32" t="s">
        <v>21</v>
      </c>
      <c r="B32" t="s">
        <v>100</v>
      </c>
      <c r="C32" t="s">
        <v>101</v>
      </c>
      <c r="D32" t="s">
        <v>133</v>
      </c>
      <c r="E32" t="s">
        <v>94</v>
      </c>
    </row>
    <row r="33" spans="1:5" x14ac:dyDescent="0.25">
      <c r="A33" t="s">
        <v>118</v>
      </c>
      <c r="B33" t="s">
        <v>103</v>
      </c>
      <c r="C33" t="s">
        <v>102</v>
      </c>
      <c r="D33" t="s">
        <v>127</v>
      </c>
      <c r="E33" t="s">
        <v>96</v>
      </c>
    </row>
    <row r="34" spans="1:5" x14ac:dyDescent="0.25">
      <c r="A34" t="s">
        <v>129</v>
      </c>
      <c r="B34" t="s">
        <v>103</v>
      </c>
      <c r="C34" t="s">
        <v>102</v>
      </c>
      <c r="D34" t="s">
        <v>132</v>
      </c>
      <c r="E34" t="s">
        <v>96</v>
      </c>
    </row>
    <row r="35" spans="1:5" x14ac:dyDescent="0.25">
      <c r="A35" t="s">
        <v>135</v>
      </c>
      <c r="B35" t="s">
        <v>103</v>
      </c>
      <c r="C35" t="s">
        <v>102</v>
      </c>
      <c r="D35" t="s">
        <v>137</v>
      </c>
      <c r="E35" t="s">
        <v>96</v>
      </c>
    </row>
    <row r="36" spans="1:5" x14ac:dyDescent="0.25">
      <c r="A36" t="s">
        <v>136</v>
      </c>
      <c r="B36" t="s">
        <v>103</v>
      </c>
      <c r="C36" t="s">
        <v>102</v>
      </c>
      <c r="D36" t="s">
        <v>138</v>
      </c>
      <c r="E36" t="s">
        <v>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995A4-E149-4E2C-B4B4-9D4F63316BA3}">
  <dimension ref="A1:D8"/>
  <sheetViews>
    <sheetView workbookViewId="0">
      <selection sqref="A1:D20"/>
    </sheetView>
  </sheetViews>
  <sheetFormatPr defaultRowHeight="15" x14ac:dyDescent="0.25"/>
  <cols>
    <col min="1" max="1" width="31.42578125" bestFit="1" customWidth="1"/>
    <col min="2" max="2" width="10.42578125" bestFit="1" customWidth="1"/>
    <col min="3" max="3" width="32.5703125" bestFit="1" customWidth="1"/>
    <col min="4" max="4" width="64.42578125" bestFit="1" customWidth="1"/>
  </cols>
  <sheetData>
    <row r="1" spans="1:4" x14ac:dyDescent="0.25">
      <c r="A1" t="s">
        <v>0</v>
      </c>
      <c r="B1" t="s">
        <v>66</v>
      </c>
      <c r="C1" t="s">
        <v>34</v>
      </c>
      <c r="D1" t="s">
        <v>33</v>
      </c>
    </row>
    <row r="2" spans="1:4" x14ac:dyDescent="0.25">
      <c r="A2" t="s">
        <v>63</v>
      </c>
      <c r="B2">
        <v>1</v>
      </c>
      <c r="C2" t="s">
        <v>52</v>
      </c>
      <c r="D2" t="s">
        <v>64</v>
      </c>
    </row>
    <row r="3" spans="1:4" x14ac:dyDescent="0.25">
      <c r="A3" t="s">
        <v>72</v>
      </c>
      <c r="B3">
        <v>1</v>
      </c>
      <c r="C3" t="s">
        <v>60</v>
      </c>
      <c r="D3" t="s">
        <v>65</v>
      </c>
    </row>
    <row r="4" spans="1:4" x14ac:dyDescent="0.25">
      <c r="A4" t="s">
        <v>71</v>
      </c>
      <c r="B4">
        <v>1</v>
      </c>
      <c r="C4" t="s">
        <v>60</v>
      </c>
      <c r="D4" t="s">
        <v>67</v>
      </c>
    </row>
    <row r="5" spans="1:4" x14ac:dyDescent="0.25">
      <c r="A5" t="s">
        <v>73</v>
      </c>
      <c r="B5">
        <v>1</v>
      </c>
      <c r="C5" t="s">
        <v>60</v>
      </c>
      <c r="D5" t="s">
        <v>68</v>
      </c>
    </row>
    <row r="6" spans="1:4" x14ac:dyDescent="0.25">
      <c r="A6" t="s">
        <v>70</v>
      </c>
      <c r="B6">
        <v>3</v>
      </c>
      <c r="C6" t="s">
        <v>60</v>
      </c>
      <c r="D6" t="s">
        <v>69</v>
      </c>
    </row>
    <row r="7" spans="1:4" x14ac:dyDescent="0.25">
      <c r="A7" t="s">
        <v>80</v>
      </c>
      <c r="B7">
        <v>1</v>
      </c>
      <c r="C7" t="s">
        <v>60</v>
      </c>
      <c r="D7" t="s">
        <v>78</v>
      </c>
    </row>
    <row r="8" spans="1:4" x14ac:dyDescent="0.25">
      <c r="A8" t="s">
        <v>81</v>
      </c>
      <c r="B8">
        <v>1</v>
      </c>
      <c r="C8" t="s">
        <v>60</v>
      </c>
      <c r="D8" t="s">
        <v>79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d0e3427a-3376-4ee4-a029-e7d53d4dcc48}" enabled="1" method="Standard" siteId="{60d8432b-0fad-4511-ba9d-53cbca74bfe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Weight</vt:lpstr>
      <vt:lpstr>3D-Parts</vt:lpstr>
      <vt:lpstr>Misc-Parts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 Zelissen</cp:lastModifiedBy>
  <dcterms:created xsi:type="dcterms:W3CDTF">2015-06-05T18:17:20Z</dcterms:created>
  <dcterms:modified xsi:type="dcterms:W3CDTF">2025-08-24T23:31:18Z</dcterms:modified>
</cp:coreProperties>
</file>